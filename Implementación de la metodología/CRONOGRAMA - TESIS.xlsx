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utpedupe-my.sharepoint.com/personal/u17302707_utp_edu_pe/Documents/"/>
    </mc:Choice>
  </mc:AlternateContent>
  <xr:revisionPtr revIDLastSave="9" documentId="8_{01E0954A-E9AD-0343-8339-B3F55A3C3837}" xr6:coauthVersionLast="47" xr6:coauthVersionMax="47" xr10:uidLastSave="{8FE3CEA7-087A-0B4E-9A9D-ABCACB7A8E8D}"/>
  <bookViews>
    <workbookView xWindow="3160" yWindow="1200" windowWidth="36520" windowHeight="14440" tabRatio="500" activeTab="1" xr2:uid="{00000000-000D-0000-FFFF-FFFF00000000}"/>
  </bookViews>
  <sheets>
    <sheet name="Resumen semanal" sheetId="1" r:id="rId1"/>
    <sheet name="Gantt detallad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7" i="2" l="1"/>
  <c r="H77" i="2" s="1"/>
  <c r="G75" i="2"/>
  <c r="H75" i="2" s="1"/>
  <c r="G73" i="2"/>
  <c r="H73" i="2" s="1"/>
  <c r="G72" i="2"/>
  <c r="H72" i="2" s="1"/>
  <c r="G70" i="2"/>
  <c r="H70" i="2" s="1"/>
  <c r="G69" i="2"/>
  <c r="H69" i="2" s="1"/>
  <c r="G67" i="2"/>
  <c r="H67" i="2" s="1"/>
  <c r="G65" i="2"/>
  <c r="H65" i="2" s="1"/>
  <c r="G64" i="2"/>
  <c r="H64" i="2" s="1"/>
  <c r="G62" i="2"/>
  <c r="H62" i="2" s="1"/>
  <c r="G60" i="2"/>
  <c r="H60" i="2" s="1"/>
  <c r="G58" i="2"/>
  <c r="H58" i="2" s="1"/>
  <c r="G57" i="2"/>
  <c r="H57" i="2" s="1"/>
  <c r="G55" i="2"/>
  <c r="H55" i="2" s="1"/>
  <c r="G53" i="2"/>
  <c r="H53" i="2" s="1"/>
  <c r="G52" i="2"/>
  <c r="H52" i="2" s="1"/>
  <c r="G50" i="2"/>
  <c r="H50" i="2" s="1"/>
  <c r="G48" i="2"/>
  <c r="H48" i="2" s="1"/>
  <c r="G46" i="2"/>
  <c r="H46" i="2" s="1"/>
  <c r="G45" i="2"/>
  <c r="H45" i="2" s="1"/>
  <c r="G44" i="2"/>
  <c r="H44" i="2" s="1"/>
  <c r="G42" i="2"/>
  <c r="H42" i="2" s="1"/>
  <c r="G41" i="2"/>
  <c r="H41" i="2" s="1"/>
  <c r="G39" i="2"/>
  <c r="H39" i="2" s="1"/>
  <c r="H38" i="2"/>
  <c r="G38" i="2"/>
  <c r="G37" i="2"/>
  <c r="H37" i="2" s="1"/>
  <c r="G35" i="2"/>
  <c r="H35" i="2" s="1"/>
  <c r="G34" i="2"/>
  <c r="H34" i="2" s="1"/>
  <c r="G33" i="2"/>
  <c r="H33" i="2" s="1"/>
  <c r="G31" i="2"/>
  <c r="H31" i="2" s="1"/>
  <c r="G30" i="2"/>
  <c r="H30" i="2" s="1"/>
  <c r="G28" i="2"/>
  <c r="H28" i="2" s="1"/>
  <c r="G27" i="2"/>
  <c r="H27" i="2" s="1"/>
  <c r="G26" i="2"/>
  <c r="H26" i="2" s="1"/>
  <c r="G24" i="2"/>
  <c r="H24" i="2" s="1"/>
  <c r="G23" i="2"/>
  <c r="H23" i="2" s="1"/>
  <c r="G21" i="2"/>
  <c r="H21" i="2" s="1"/>
  <c r="G20" i="2"/>
  <c r="H20" i="2" s="1"/>
  <c r="G18" i="2"/>
  <c r="H18" i="2" s="1"/>
  <c r="G16" i="2"/>
  <c r="H16" i="2" s="1"/>
  <c r="G15" i="2"/>
  <c r="H15" i="2" s="1"/>
  <c r="G13" i="2"/>
  <c r="H13" i="2" s="1"/>
  <c r="G12" i="2"/>
  <c r="H12" i="2" s="1"/>
  <c r="G10" i="2"/>
  <c r="H10" i="2" s="1"/>
  <c r="G8" i="2"/>
  <c r="H8" i="2" s="1"/>
  <c r="G6" i="2"/>
  <c r="H6" i="2" s="1"/>
  <c r="G5" i="2"/>
  <c r="H5" i="2" s="1"/>
  <c r="G3" i="2"/>
  <c r="H3" i="2" s="1"/>
</calcChain>
</file>

<file path=xl/sharedStrings.xml><?xml version="1.0" encoding="utf-8"?>
<sst xmlns="http://schemas.openxmlformats.org/spreadsheetml/2006/main" count="397" uniqueCount="123">
  <si>
    <t>Resumen semanal — Prediccion de riesgo de perdida gestacional (ENDES)</t>
  </si>
  <si>
    <t>Semana</t>
  </si>
  <si>
    <t>Fecha</t>
  </si>
  <si>
    <t>Fase tecnica</t>
  </si>
  <si>
    <t>Avance de redaccion / entregable</t>
  </si>
  <si>
    <t>Estado</t>
  </si>
  <si>
    <t>Notas / observaciones del asesor</t>
  </si>
  <si>
    <t>Formulacion del plan</t>
  </si>
  <si>
    <t>Redaccion de Introduccion: planteamiento y objetivos</t>
  </si>
  <si>
    <t>Completado</t>
  </si>
  <si>
    <t>Redaccion de Introduccion: hipotesis</t>
  </si>
  <si>
    <t>Redaccion de Estado del arte</t>
  </si>
  <si>
    <t>Redaccion de Marco teorico</t>
  </si>
  <si>
    <t>Plan de tesis</t>
  </si>
  <si>
    <t>Entrega formal del Plan de tesis (cap. 1-3)</t>
  </si>
  <si>
    <t>Preparacion de datos</t>
  </si>
  <si>
    <t>Redaccion de Metodologia (en paralelo)</t>
  </si>
  <si>
    <t>Modelado y evaluacion</t>
  </si>
  <si>
    <t>Redaccion de Desarrollo de la Solucion</t>
  </si>
  <si>
    <t>En progreso</t>
  </si>
  <si>
    <t>Incorporacion de tablas y figuras en el doc</t>
  </si>
  <si>
    <t>Interpretacion (XAI) / Analisis de resultados</t>
  </si>
  <si>
    <t>Obtencion de resultados</t>
  </si>
  <si>
    <t>Pendiente</t>
  </si>
  <si>
    <t>Analisis de resultados</t>
  </si>
  <si>
    <t>Incorporacion de tablas, redaccion y figuras de resultados en el doc</t>
  </si>
  <si>
    <t>Revision</t>
  </si>
  <si>
    <t>Redaccion de Contenido</t>
  </si>
  <si>
    <t>Revision de formato de doc e indices</t>
  </si>
  <si>
    <t>Redaccion de Discusion y aprobacion de anexos</t>
  </si>
  <si>
    <t>Consolidacion final del documento</t>
  </si>
  <si>
    <t>Redaccion de Conclusiones, Declaracion de IA, Bibliografia y Anexos; revision integral</t>
  </si>
  <si>
    <t>Entrega de tesis completa</t>
  </si>
  <si>
    <t>Entrega formal del documento completo (100%)</t>
  </si>
  <si>
    <t>Levantamiento de observaciones</t>
  </si>
  <si>
    <t>Levantamiento de observaciones del jurado/asesor y entrega final</t>
  </si>
  <si>
    <t>Leyenda de Estado:</t>
  </si>
  <si>
    <t>Con observaciones</t>
  </si>
  <si>
    <t>Cronograma de tesis — Prediccion de riesgo de perdida gestacional (ENDES) — Semanas 1 a 22</t>
  </si>
  <si>
    <t>Fase</t>
  </si>
  <si>
    <t>Tipo</t>
  </si>
  <si>
    <t>Tarea</t>
  </si>
  <si>
    <t>Subtarea</t>
  </si>
  <si>
    <t>Inicio</t>
  </si>
  <si>
    <t>Fin</t>
  </si>
  <si>
    <t>Fase 0: Formulación y fundamentación teorica</t>
  </si>
  <si>
    <t>0.1. Redaccion de Introduccion</t>
  </si>
  <si>
    <t>0.1.1. Planteamiento del problema y objetivos</t>
  </si>
  <si>
    <t>0.1.2. Formulacion de hipotesis</t>
  </si>
  <si>
    <t>0.2. Redaccion de Estado del arte</t>
  </si>
  <si>
    <t>0.2.1. Revision de antecedentes y trabajos previos</t>
  </si>
  <si>
    <t>0.3. Redaccion de Marco teorico</t>
  </si>
  <si>
    <t>0.3.1. Bases conceptuales, variables y modelos ML/XAI</t>
  </si>
  <si>
    <t>0.4. Consolidacion y entrega del Plan de tesis</t>
  </si>
  <si>
    <t>0.4.1. Integracion de capitulos 1-3 y entrega formal</t>
  </si>
  <si>
    <t>Fase 1: Preparacion de datos</t>
  </si>
  <si>
    <t>1.1. Extraccion de datos</t>
  </si>
  <si>
    <t>1.1.1. Descarga de la base de datos ENDES 2022-2025</t>
  </si>
  <si>
    <t>1.1.2. Exploracion inicial de la data</t>
  </si>
  <si>
    <t>1.2. Depuracion y filtrado</t>
  </si>
  <si>
    <t>1.2.1. Aplicacion de criterios de inclusion y exclusion</t>
  </si>
  <si>
    <t>1.3. Manejo de datos faltantes</t>
  </si>
  <si>
    <t>1.3.1. Identificacion de valores atipicos y datos faltantes</t>
  </si>
  <si>
    <t>1.3.2. Tratamiento de datos inconsistentes</t>
  </si>
  <si>
    <t>1.4. Seleccion de caracteristicas</t>
  </si>
  <si>
    <t>1.4.1. Implementacion del algoritmo Boruta</t>
  </si>
  <si>
    <t>1.4.2. Identificacion de variables con impacto real</t>
  </si>
  <si>
    <t>1.5. Balanceo de datos</t>
  </si>
  <si>
    <t>1.5.1. Aplicacion de SMOTE o Borderline-SMOTE</t>
  </si>
  <si>
    <t>1.5.2. Validacion de la distribucion balanceada</t>
  </si>
  <si>
    <t>Fase 2: Modelado y evaluacion</t>
  </si>
  <si>
    <t>2.1. Entrenamiento de modelos tradicionales</t>
  </si>
  <si>
    <t>2.1.1. Implementacion de KNN</t>
  </si>
  <si>
    <t>2.1.2. Implementacion de SVM</t>
  </si>
  <si>
    <t>2.2. Entrenamiento de modelos de ensamblaje</t>
  </si>
  <si>
    <t>2.2.1. Implementacion de Random Forest</t>
  </si>
  <si>
    <t>2.2.2. Implementacion de XGBoost</t>
  </si>
  <si>
    <t>2.2.3. Implementacion de Gradient Boosting</t>
  </si>
  <si>
    <t>2.3. Evaluacion y comparacion</t>
  </si>
  <si>
    <t>2.3.1. Calculo de metricas (AUC, F1-Score, Sensibilidad)</t>
  </si>
  <si>
    <t>2.3.2. Matriz de confusion y analisis comparativo</t>
  </si>
  <si>
    <t>Fase 3: Interpretacion y analisis (XAI)</t>
  </si>
  <si>
    <t>3.1. Inteligencia Artificial Explicable</t>
  </si>
  <si>
    <t>3.1.1. Implementacion de SHAP</t>
  </si>
  <si>
    <t>3.1.2. Implementacion de LIME</t>
  </si>
  <si>
    <t>3.2. Analisis de resultados preliminares</t>
  </si>
  <si>
    <t>3.2.1. Identificacion de variables mas influyentes</t>
  </si>
  <si>
    <t>3.2.2. Discusion de resultados preliminares</t>
  </si>
  <si>
    <t>Fase 4: Redaccion de metodologia (paralelo a Fases 1-2)</t>
  </si>
  <si>
    <t>4.1. Redaccion del capitulo de Metodologia</t>
  </si>
  <si>
    <t>4.1.1. Redaccion de metodologia (preparacion de datos y modelado)</t>
  </si>
  <si>
    <t>4.2. Redaccion de Desarrollo de la Solucion</t>
  </si>
  <si>
    <t>4.2.1. Afinamiento de la seccion Desarrollo de la solucion (paralelo a Fase 2)</t>
  </si>
  <si>
    <t>4.3. Incorporacion de tablas y figuras</t>
  </si>
  <si>
    <t>4.3.1. Incorporacion de tablas y figuras en el documento</t>
  </si>
  <si>
    <t>Fase 5: Analisis y redaccion de resultados</t>
  </si>
  <si>
    <t>5.1. Obtencion de resultados</t>
  </si>
  <si>
    <t>5.1.1. Obtencion de resultados (consolidacion de metricas, SHAP/LIME y contrastacion de hipotesis)</t>
  </si>
  <si>
    <t>5.2. Incorporacion de resultados al documento</t>
  </si>
  <si>
    <t>5.2.1. Incorporacion de tablas, redaccion y figuras de resultados en el documento (cap. 5)</t>
  </si>
  <si>
    <t>Fase 6: Revision del documento</t>
  </si>
  <si>
    <t>6.2. Revision de formato del documento</t>
  </si>
  <si>
    <t>6.2.1. Revision de formato de documento e indices</t>
  </si>
  <si>
    <t>6.3. Redaccion de Discusion</t>
  </si>
  <si>
    <t>6.3.1. Redaccion de Discusion y aprobacion de anexos</t>
  </si>
  <si>
    <t>Fase 7: Consolidacion final del documento de tesis</t>
  </si>
  <si>
    <t>7.1. Redaccion de Conclusiones, Declaracion de IA, Bibliografia y Anexos</t>
  </si>
  <si>
    <t>7.1.1. Redaccion de Conclusiones, Declaracion de uso de IA, Bibliografia y Anexos</t>
  </si>
  <si>
    <t>7.2. Revision integral y validacion con el asesor</t>
  </si>
  <si>
    <t>7.2.1. Revision integral del documento (coherencia, formato, normas) y validacion con el asesor</t>
  </si>
  <si>
    <t>Fase 8: Entrega de tesis completa</t>
  </si>
  <si>
    <t>8.1. Entrega formal</t>
  </si>
  <si>
    <t>8.1.1. Entrega formal del documento completo</t>
  </si>
  <si>
    <t>Fase 9: Levantamiento de observaciones</t>
  </si>
  <si>
    <t>9.1. Recepcion de observaciones</t>
  </si>
  <si>
    <t>9.1.1. Recepcion de observaciones del jurado/asesor</t>
  </si>
  <si>
    <t>9.2. Levantamiento y entrega final</t>
  </si>
  <si>
    <t>9.2.1. Levantamiento de observaciones y entrega final</t>
  </si>
  <si>
    <t>Barra Gantt:</t>
  </si>
  <si>
    <t>Duración (dias)</t>
  </si>
  <si>
    <t>Duración (semanas)</t>
  </si>
  <si>
    <t>6.1.1. Revisión de Contenido de Documento</t>
  </si>
  <si>
    <t>6.1. Revisión de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</si>
</sst>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  <font>
      <b/>
      <sz val="13"/>
      <color theme="1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6E0B4"/>
      </patternFill>
    </fill>
    <fill>
      <patternFill patternType="solid">
        <fgColor rgb="FFF4B183"/>
        <bgColor rgb="FFF8CBAD"/>
      </patternFill>
    </fill>
    <fill>
      <patternFill patternType="solid">
        <fgColor rgb="FFC6E0B4"/>
        <bgColor rgb="FFCCCCCC"/>
      </patternFill>
    </fill>
    <fill>
      <patternFill patternType="solid">
        <fgColor rgb="FFFFE699"/>
        <bgColor rgb="FFFCE6D4"/>
      </patternFill>
    </fill>
    <fill>
      <patternFill patternType="solid">
        <fgColor rgb="FFF8CBAD"/>
        <bgColor rgb="FFFFCCCC"/>
      </patternFill>
    </fill>
    <fill>
      <patternFill patternType="solid">
        <fgColor rgb="FFFFCCCC"/>
        <bgColor rgb="FFF8CBAD"/>
      </patternFill>
    </fill>
    <fill>
      <patternFill patternType="solid">
        <fgColor rgb="FFFCE6D4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4472C4"/>
        <bgColor rgb="FF666666"/>
      </patternFill>
    </fill>
    <fill>
      <patternFill patternType="solid">
        <fgColor rgb="FFBDD7EE"/>
        <bgColor rgb="FFCCCCCC"/>
      </patternFill>
    </fill>
    <fill>
      <patternFill patternType="solid">
        <fgColor theme="1"/>
        <bgColor rgb="FF008080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5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8" fillId="14" borderId="1" xfId="0" applyNumberFormat="1" applyFont="1" applyFill="1" applyBorder="1" applyAlignment="1">
      <alignment vertical="center"/>
    </xf>
    <xf numFmtId="0" fontId="8" fillId="13" borderId="1" xfId="0" applyFont="1" applyFill="1" applyBorder="1" applyAlignment="1">
      <alignment vertical="center" wrapText="1"/>
    </xf>
    <xf numFmtId="0" fontId="9" fillId="14" borderId="0" xfId="0" applyFont="1" applyFill="1" applyAlignment="1">
      <alignment vertical="center"/>
    </xf>
    <xf numFmtId="0" fontId="5" fillId="0" borderId="2" xfId="0" applyFont="1" applyBorder="1"/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0" fillId="0" borderId="2" xfId="0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10">
    <dxf>
      <fill>
        <patternFill>
          <bgColor rgb="FFBDD7EE"/>
        </patternFill>
      </fill>
    </dxf>
    <dxf>
      <fill>
        <patternFill>
          <bgColor rgb="FF4472C4"/>
        </patternFill>
      </fill>
    </dxf>
    <dxf>
      <font>
        <b/>
        <color rgb="FFCC0000"/>
      </font>
      <fill>
        <patternFill>
          <bgColor rgb="FFFFCCC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ont>
        <b/>
        <color rgb="FFCC0000"/>
      </font>
      <fill>
        <patternFill>
          <bgColor rgb="FFFFCCC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C57"/>
      <rgbColor rgb="FFCCCCCC"/>
      <rgbColor rgb="FF808080"/>
      <rgbColor rgb="FF9999FF"/>
      <rgbColor rgb="FF993366"/>
      <rgbColor rgb="FFF2F2F2"/>
      <rgbColor rgb="FFFCE6D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CCCC"/>
      <rgbColor rgb="FFC6E0B4"/>
      <rgbColor rgb="FFFFE699"/>
      <rgbColor rgb="FF99CCFF"/>
      <rgbColor rgb="FFF4B183"/>
      <rgbColor rgb="FFCC99FF"/>
      <rgbColor rgb="FFF8CBAD"/>
      <rgbColor rgb="FF4472C4"/>
      <rgbColor rgb="FF33CCCC"/>
      <rgbColor rgb="FF92D05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zoomScaleNormal="100" workbookViewId="0">
      <pane ySplit="2" topLeftCell="A6" activePane="bottomLeft" state="frozen"/>
      <selection pane="bottomLeft" activeCell="D17" sqref="D17"/>
    </sheetView>
  </sheetViews>
  <sheetFormatPr baseColWidth="10" defaultColWidth="8.6640625" defaultRowHeight="15" x14ac:dyDescent="0.2"/>
  <cols>
    <col min="1" max="1" width="18.5" customWidth="1"/>
    <col min="2" max="2" width="13" customWidth="1"/>
    <col min="3" max="3" width="32" customWidth="1"/>
    <col min="4" max="4" width="48" customWidth="1"/>
    <col min="5" max="5" width="16" customWidth="1"/>
    <col min="6" max="6" width="34" customWidth="1"/>
  </cols>
  <sheetData>
    <row r="1" spans="1:6" ht="21.75" customHeight="1" x14ac:dyDescent="0.2">
      <c r="A1" s="26" t="s">
        <v>0</v>
      </c>
      <c r="B1" s="26"/>
      <c r="C1" s="26"/>
      <c r="D1" s="26"/>
      <c r="E1" s="26"/>
      <c r="F1" s="26"/>
    </row>
    <row r="2" spans="1:6" ht="24" customHeight="1" x14ac:dyDescent="0.2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</row>
    <row r="3" spans="1:6" x14ac:dyDescent="0.2">
      <c r="A3" s="2">
        <v>1</v>
      </c>
      <c r="B3" s="3">
        <v>46160</v>
      </c>
      <c r="C3" s="4" t="s">
        <v>7</v>
      </c>
      <c r="D3" s="4" t="s">
        <v>8</v>
      </c>
      <c r="E3" s="2" t="s">
        <v>9</v>
      </c>
      <c r="F3" s="4"/>
    </row>
    <row r="4" spans="1:6" x14ac:dyDescent="0.2">
      <c r="A4" s="2">
        <v>2</v>
      </c>
      <c r="B4" s="3">
        <v>46167</v>
      </c>
      <c r="C4" s="4" t="s">
        <v>7</v>
      </c>
      <c r="D4" s="4" t="s">
        <v>8</v>
      </c>
      <c r="E4" s="2" t="s">
        <v>9</v>
      </c>
      <c r="F4" s="4"/>
    </row>
    <row r="5" spans="1:6" x14ac:dyDescent="0.2">
      <c r="A5" s="2">
        <v>3</v>
      </c>
      <c r="B5" s="3">
        <v>46174</v>
      </c>
      <c r="C5" s="4" t="s">
        <v>7</v>
      </c>
      <c r="D5" s="4" t="s">
        <v>10</v>
      </c>
      <c r="E5" s="2" t="s">
        <v>9</v>
      </c>
      <c r="F5" s="4"/>
    </row>
    <row r="6" spans="1:6" x14ac:dyDescent="0.2">
      <c r="A6" s="2">
        <v>4</v>
      </c>
      <c r="B6" s="3">
        <v>46181</v>
      </c>
      <c r="C6" s="4" t="s">
        <v>7</v>
      </c>
      <c r="D6" s="4" t="s">
        <v>11</v>
      </c>
      <c r="E6" s="2" t="s">
        <v>9</v>
      </c>
      <c r="F6" s="4"/>
    </row>
    <row r="7" spans="1:6" x14ac:dyDescent="0.2">
      <c r="A7" s="2">
        <v>5</v>
      </c>
      <c r="B7" s="3">
        <v>46188</v>
      </c>
      <c r="C7" s="4" t="s">
        <v>7</v>
      </c>
      <c r="D7" s="4" t="s">
        <v>11</v>
      </c>
      <c r="E7" s="2" t="s">
        <v>9</v>
      </c>
      <c r="F7" s="4"/>
    </row>
    <row r="8" spans="1:6" x14ac:dyDescent="0.2">
      <c r="A8" s="2">
        <v>6</v>
      </c>
      <c r="B8" s="3">
        <v>46195</v>
      </c>
      <c r="C8" s="4" t="s">
        <v>7</v>
      </c>
      <c r="D8" s="4" t="s">
        <v>12</v>
      </c>
      <c r="E8" s="2" t="s">
        <v>9</v>
      </c>
      <c r="F8" s="4"/>
    </row>
    <row r="9" spans="1:6" x14ac:dyDescent="0.2">
      <c r="A9" s="2">
        <v>7</v>
      </c>
      <c r="B9" s="3">
        <v>46202</v>
      </c>
      <c r="C9" s="4" t="s">
        <v>7</v>
      </c>
      <c r="D9" s="4" t="s">
        <v>12</v>
      </c>
      <c r="E9" s="2" t="s">
        <v>9</v>
      </c>
      <c r="F9" s="4"/>
    </row>
    <row r="10" spans="1:6" x14ac:dyDescent="0.2">
      <c r="A10" s="5">
        <v>8</v>
      </c>
      <c r="B10" s="6">
        <v>46209</v>
      </c>
      <c r="C10" s="7" t="s">
        <v>13</v>
      </c>
      <c r="D10" s="7" t="s">
        <v>14</v>
      </c>
      <c r="E10" s="5" t="s">
        <v>9</v>
      </c>
      <c r="F10" s="7"/>
    </row>
    <row r="11" spans="1:6" x14ac:dyDescent="0.2">
      <c r="A11" s="2">
        <v>9</v>
      </c>
      <c r="B11" s="3">
        <v>46216</v>
      </c>
      <c r="C11" s="4" t="s">
        <v>15</v>
      </c>
      <c r="D11" s="4" t="s">
        <v>16</v>
      </c>
      <c r="E11" s="2" t="s">
        <v>9</v>
      </c>
      <c r="F11" s="4"/>
    </row>
    <row r="12" spans="1:6" x14ac:dyDescent="0.2">
      <c r="A12" s="2">
        <v>10</v>
      </c>
      <c r="B12" s="3">
        <v>46223</v>
      </c>
      <c r="C12" s="4" t="s">
        <v>15</v>
      </c>
      <c r="D12" s="4" t="s">
        <v>16</v>
      </c>
      <c r="E12" s="2" t="s">
        <v>9</v>
      </c>
      <c r="F12" s="4"/>
    </row>
    <row r="13" spans="1:6" x14ac:dyDescent="0.2">
      <c r="A13" s="2">
        <v>11</v>
      </c>
      <c r="B13" s="3">
        <v>46230</v>
      </c>
      <c r="C13" s="4" t="s">
        <v>15</v>
      </c>
      <c r="D13" s="4" t="s">
        <v>16</v>
      </c>
      <c r="E13" s="2" t="s">
        <v>9</v>
      </c>
      <c r="F13" s="4"/>
    </row>
    <row r="14" spans="1:6" x14ac:dyDescent="0.2">
      <c r="A14" s="2">
        <v>12</v>
      </c>
      <c r="B14" s="3">
        <v>46237</v>
      </c>
      <c r="C14" s="4" t="s">
        <v>17</v>
      </c>
      <c r="D14" s="4" t="s">
        <v>18</v>
      </c>
      <c r="E14" s="2" t="s">
        <v>19</v>
      </c>
      <c r="F14" s="4"/>
    </row>
    <row r="15" spans="1:6" x14ac:dyDescent="0.2">
      <c r="A15" s="2">
        <v>13</v>
      </c>
      <c r="B15" s="3">
        <v>46244</v>
      </c>
      <c r="C15" s="4" t="s">
        <v>17</v>
      </c>
      <c r="D15" s="4" t="s">
        <v>18</v>
      </c>
      <c r="E15" s="2" t="s">
        <v>19</v>
      </c>
      <c r="F15" s="4"/>
    </row>
    <row r="16" spans="1:6" x14ac:dyDescent="0.2">
      <c r="A16" s="5">
        <v>14</v>
      </c>
      <c r="B16" s="6">
        <v>46251</v>
      </c>
      <c r="C16" s="7" t="s">
        <v>17</v>
      </c>
      <c r="D16" s="7" t="s">
        <v>20</v>
      </c>
      <c r="E16" s="5" t="s">
        <v>19</v>
      </c>
      <c r="F16" s="7"/>
    </row>
    <row r="17" spans="1:6" ht="28" x14ac:dyDescent="0.2">
      <c r="A17" s="2">
        <v>15</v>
      </c>
      <c r="B17" s="3">
        <v>46258</v>
      </c>
      <c r="C17" s="4" t="s">
        <v>21</v>
      </c>
      <c r="D17" s="4" t="s">
        <v>22</v>
      </c>
      <c r="E17" s="2" t="s">
        <v>23</v>
      </c>
      <c r="F17" s="4"/>
    </row>
    <row r="18" spans="1:6" ht="28" x14ac:dyDescent="0.2">
      <c r="A18" s="2">
        <v>16</v>
      </c>
      <c r="B18" s="3">
        <v>46265</v>
      </c>
      <c r="C18" s="4" t="s">
        <v>24</v>
      </c>
      <c r="D18" s="4" t="s">
        <v>25</v>
      </c>
      <c r="E18" s="2" t="s">
        <v>23</v>
      </c>
      <c r="F18" s="4"/>
    </row>
    <row r="19" spans="1:6" x14ac:dyDescent="0.2">
      <c r="A19" s="2">
        <v>17</v>
      </c>
      <c r="B19" s="3">
        <v>46272</v>
      </c>
      <c r="C19" s="4" t="s">
        <v>26</v>
      </c>
      <c r="D19" s="4" t="s">
        <v>27</v>
      </c>
      <c r="E19" s="2" t="s">
        <v>23</v>
      </c>
      <c r="F19" s="4"/>
    </row>
    <row r="20" spans="1:6" x14ac:dyDescent="0.2">
      <c r="A20" s="2">
        <v>18</v>
      </c>
      <c r="B20" s="3">
        <v>46279</v>
      </c>
      <c r="C20" s="4" t="s">
        <v>26</v>
      </c>
      <c r="D20" s="4" t="s">
        <v>28</v>
      </c>
      <c r="E20" s="2" t="s">
        <v>23</v>
      </c>
      <c r="F20" s="4"/>
    </row>
    <row r="21" spans="1:6" x14ac:dyDescent="0.2">
      <c r="A21" s="2">
        <v>19</v>
      </c>
      <c r="B21" s="3">
        <v>46286</v>
      </c>
      <c r="C21" s="4" t="s">
        <v>26</v>
      </c>
      <c r="D21" s="4" t="s">
        <v>29</v>
      </c>
      <c r="E21" s="2" t="s">
        <v>23</v>
      </c>
      <c r="F21" s="4"/>
    </row>
    <row r="22" spans="1:6" ht="28" x14ac:dyDescent="0.2">
      <c r="A22" s="5">
        <v>20</v>
      </c>
      <c r="B22" s="6">
        <v>46293</v>
      </c>
      <c r="C22" s="7" t="s">
        <v>30</v>
      </c>
      <c r="D22" s="7" t="s">
        <v>31</v>
      </c>
      <c r="E22" s="5" t="s">
        <v>23</v>
      </c>
      <c r="F22" s="7"/>
    </row>
    <row r="23" spans="1:6" x14ac:dyDescent="0.2">
      <c r="A23" s="8">
        <v>21</v>
      </c>
      <c r="B23" s="9">
        <v>46300</v>
      </c>
      <c r="C23" s="10" t="s">
        <v>32</v>
      </c>
      <c r="D23" s="10" t="s">
        <v>33</v>
      </c>
      <c r="E23" s="8" t="s">
        <v>23</v>
      </c>
      <c r="F23" s="10"/>
    </row>
    <row r="24" spans="1:6" ht="28" x14ac:dyDescent="0.2">
      <c r="A24" s="11">
        <v>22</v>
      </c>
      <c r="B24" s="12">
        <v>46307</v>
      </c>
      <c r="C24" s="13" t="s">
        <v>34</v>
      </c>
      <c r="D24" s="13" t="s">
        <v>35</v>
      </c>
      <c r="E24" s="11" t="s">
        <v>23</v>
      </c>
      <c r="F24" s="13"/>
    </row>
    <row r="26" spans="1:6" x14ac:dyDescent="0.2">
      <c r="A26" s="14" t="s">
        <v>36</v>
      </c>
      <c r="B26" s="15" t="s">
        <v>9</v>
      </c>
      <c r="C26" s="16" t="s">
        <v>19</v>
      </c>
      <c r="D26" s="17" t="s">
        <v>23</v>
      </c>
      <c r="E26" s="18" t="s">
        <v>37</v>
      </c>
    </row>
  </sheetData>
  <mergeCells count="1">
    <mergeCell ref="A1:F1"/>
  </mergeCells>
  <conditionalFormatting sqref="E3:E24">
    <cfRule type="expression" dxfId="9" priority="2">
      <formula>$E3="Completado"</formula>
    </cfRule>
    <cfRule type="expression" dxfId="8" priority="3">
      <formula>$E3="En progreso"</formula>
    </cfRule>
    <cfRule type="expression" dxfId="7" priority="4">
      <formula>$E3="Pendiente"</formula>
    </cfRule>
    <cfRule type="expression" dxfId="6" priority="5">
      <formula>$E3="Con observaciones"</formula>
    </cfRule>
  </conditionalFormatting>
  <dataValidations count="1">
    <dataValidation type="list" allowBlank="1" sqref="E3:E24" xr:uid="{00000000-0002-0000-0000-000000000000}">
      <formula1>"Pendiente,En progreso,Completado,Con observaciones"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4"/>
  <sheetViews>
    <sheetView showGridLines="0" tabSelected="1" zoomScaleNormal="100" workbookViewId="0">
      <pane xSplit="9" ySplit="2" topLeftCell="J27" activePane="bottomRight" state="frozen"/>
      <selection pane="topRight" activeCell="J1" sqref="J1"/>
      <selection pane="bottomLeft" activeCell="A4" sqref="A4"/>
      <selection pane="bottomRight" activeCell="H36" sqref="H36"/>
    </sheetView>
  </sheetViews>
  <sheetFormatPr baseColWidth="10" defaultColWidth="8.6640625" defaultRowHeight="15" x14ac:dyDescent="0.2"/>
  <cols>
    <col min="1" max="1" width="35.6640625" customWidth="1"/>
    <col min="2" max="2" width="10" customWidth="1"/>
    <col min="3" max="3" width="34" customWidth="1"/>
    <col min="4" max="4" width="46" customWidth="1"/>
    <col min="5" max="5" width="26.1640625" customWidth="1"/>
    <col min="6" max="6" width="12" customWidth="1"/>
    <col min="7" max="8" width="10" customWidth="1"/>
    <col min="9" max="9" width="15" customWidth="1"/>
    <col min="10" max="31" width="12.33203125" customWidth="1"/>
  </cols>
  <sheetData>
    <row r="1" spans="1:31" ht="21.75" customHeight="1" x14ac:dyDescent="0.2">
      <c r="A1" s="27" t="s">
        <v>38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spans="1:31" s="30" customFormat="1" ht="46" customHeight="1" x14ac:dyDescent="0.2">
      <c r="A2" s="29" t="s">
        <v>39</v>
      </c>
      <c r="B2" s="29" t="s">
        <v>40</v>
      </c>
      <c r="C2" s="29" t="s">
        <v>41</v>
      </c>
      <c r="D2" s="29" t="s">
        <v>42</v>
      </c>
      <c r="E2" s="29" t="s">
        <v>43</v>
      </c>
      <c r="F2" s="29" t="s">
        <v>44</v>
      </c>
      <c r="G2" s="29" t="s">
        <v>119</v>
      </c>
      <c r="H2" s="29" t="s">
        <v>120</v>
      </c>
      <c r="I2" s="29" t="s">
        <v>5</v>
      </c>
      <c r="J2" s="28">
        <v>46160</v>
      </c>
      <c r="K2" s="28">
        <v>46167</v>
      </c>
      <c r="L2" s="28">
        <v>46174</v>
      </c>
      <c r="M2" s="28">
        <v>46181</v>
      </c>
      <c r="N2" s="28">
        <v>46188</v>
      </c>
      <c r="O2" s="28">
        <v>46195</v>
      </c>
      <c r="P2" s="28">
        <v>46202</v>
      </c>
      <c r="Q2" s="28">
        <v>46209</v>
      </c>
      <c r="R2" s="28">
        <v>46216</v>
      </c>
      <c r="S2" s="28">
        <v>46223</v>
      </c>
      <c r="T2" s="28">
        <v>46230</v>
      </c>
      <c r="U2" s="28">
        <v>46237</v>
      </c>
      <c r="V2" s="28">
        <v>46244</v>
      </c>
      <c r="W2" s="28">
        <v>46251</v>
      </c>
      <c r="X2" s="28">
        <v>46258</v>
      </c>
      <c r="Y2" s="28">
        <v>46265</v>
      </c>
      <c r="Z2" s="28">
        <v>46272</v>
      </c>
      <c r="AA2" s="28">
        <v>46279</v>
      </c>
      <c r="AB2" s="28">
        <v>46286</v>
      </c>
      <c r="AC2" s="28">
        <v>46293</v>
      </c>
      <c r="AD2" s="28">
        <v>46300</v>
      </c>
      <c r="AE2" s="28">
        <v>46307</v>
      </c>
    </row>
    <row r="3" spans="1:31" ht="28" x14ac:dyDescent="0.2">
      <c r="A3" s="19" t="s">
        <v>45</v>
      </c>
      <c r="B3" s="20" t="s">
        <v>39</v>
      </c>
      <c r="C3" s="20"/>
      <c r="D3" s="20"/>
      <c r="E3" s="21">
        <v>46160</v>
      </c>
      <c r="F3" s="21">
        <v>46209</v>
      </c>
      <c r="G3" s="20">
        <f>F3-E3+1</f>
        <v>50</v>
      </c>
      <c r="H3" s="20">
        <f>ROUND(G3/7,1)</f>
        <v>7.1</v>
      </c>
      <c r="I3" s="20" t="s">
        <v>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28" x14ac:dyDescent="0.2">
      <c r="A4" s="23" t="s">
        <v>45</v>
      </c>
      <c r="B4" s="24" t="s">
        <v>41</v>
      </c>
      <c r="C4" s="23" t="s">
        <v>46</v>
      </c>
      <c r="D4" s="24"/>
      <c r="E4" s="24"/>
      <c r="F4" s="24"/>
      <c r="G4" s="24"/>
      <c r="H4" s="24"/>
      <c r="I4" s="2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spans="1:31" ht="28" x14ac:dyDescent="0.2">
      <c r="A5" s="4" t="s">
        <v>45</v>
      </c>
      <c r="B5" s="2" t="s">
        <v>42</v>
      </c>
      <c r="C5" s="4" t="s">
        <v>46</v>
      </c>
      <c r="D5" s="4" t="s">
        <v>47</v>
      </c>
      <c r="E5" s="3">
        <v>46160</v>
      </c>
      <c r="F5" s="3">
        <v>46173</v>
      </c>
      <c r="G5" s="2">
        <f>F5-E5+1</f>
        <v>14</v>
      </c>
      <c r="H5" s="2">
        <f>ROUND(G5/7,1)</f>
        <v>2</v>
      </c>
      <c r="I5" s="2" t="s">
        <v>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28" x14ac:dyDescent="0.2">
      <c r="A6" s="4" t="s">
        <v>45</v>
      </c>
      <c r="B6" s="2" t="s">
        <v>42</v>
      </c>
      <c r="C6" s="4" t="s">
        <v>46</v>
      </c>
      <c r="D6" s="4" t="s">
        <v>48</v>
      </c>
      <c r="E6" s="3">
        <v>46174</v>
      </c>
      <c r="F6" s="3">
        <v>46180</v>
      </c>
      <c r="G6" s="2">
        <f>F6-E6+1</f>
        <v>7</v>
      </c>
      <c r="H6" s="2">
        <f>ROUND(G6/7,1)</f>
        <v>1</v>
      </c>
      <c r="I6" s="2" t="s">
        <v>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28" x14ac:dyDescent="0.2">
      <c r="A7" s="23" t="s">
        <v>45</v>
      </c>
      <c r="B7" s="24" t="s">
        <v>41</v>
      </c>
      <c r="C7" s="23" t="s">
        <v>49</v>
      </c>
      <c r="D7" s="24"/>
      <c r="E7" s="24"/>
      <c r="F7" s="24"/>
      <c r="G7" s="24"/>
      <c r="H7" s="24"/>
      <c r="I7" s="2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28" x14ac:dyDescent="0.2">
      <c r="A8" s="4" t="s">
        <v>45</v>
      </c>
      <c r="B8" s="2" t="s">
        <v>42</v>
      </c>
      <c r="C8" s="4" t="s">
        <v>49</v>
      </c>
      <c r="D8" s="4" t="s">
        <v>50</v>
      </c>
      <c r="E8" s="3">
        <v>46181</v>
      </c>
      <c r="F8" s="3">
        <v>46194</v>
      </c>
      <c r="G8" s="2">
        <f>F8-E8+1</f>
        <v>14</v>
      </c>
      <c r="H8" s="2">
        <f>ROUND(G8/7,1)</f>
        <v>2</v>
      </c>
      <c r="I8" s="2" t="s">
        <v>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28" x14ac:dyDescent="0.2">
      <c r="A9" s="23" t="s">
        <v>45</v>
      </c>
      <c r="B9" s="24" t="s">
        <v>41</v>
      </c>
      <c r="C9" s="23" t="s">
        <v>51</v>
      </c>
      <c r="D9" s="24"/>
      <c r="E9" s="24"/>
      <c r="F9" s="24"/>
      <c r="G9" s="24"/>
      <c r="H9" s="24"/>
      <c r="I9" s="24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28" x14ac:dyDescent="0.2">
      <c r="A10" s="4" t="s">
        <v>45</v>
      </c>
      <c r="B10" s="2" t="s">
        <v>42</v>
      </c>
      <c r="C10" s="4" t="s">
        <v>51</v>
      </c>
      <c r="D10" s="4" t="s">
        <v>52</v>
      </c>
      <c r="E10" s="3">
        <v>46195</v>
      </c>
      <c r="F10" s="3">
        <v>46208</v>
      </c>
      <c r="G10" s="2">
        <f>F10-E10+1</f>
        <v>14</v>
      </c>
      <c r="H10" s="2">
        <f>ROUND(G10/7,1)</f>
        <v>2</v>
      </c>
      <c r="I10" s="2" t="s">
        <v>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28" x14ac:dyDescent="0.2">
      <c r="A11" s="23" t="s">
        <v>45</v>
      </c>
      <c r="B11" s="24" t="s">
        <v>41</v>
      </c>
      <c r="C11" s="23" t="s">
        <v>53</v>
      </c>
      <c r="D11" s="24"/>
      <c r="E11" s="24"/>
      <c r="F11" s="24"/>
      <c r="G11" s="24"/>
      <c r="H11" s="24"/>
      <c r="I11" s="2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28" x14ac:dyDescent="0.2">
      <c r="A12" s="4" t="s">
        <v>45</v>
      </c>
      <c r="B12" s="2" t="s">
        <v>42</v>
      </c>
      <c r="C12" s="4" t="s">
        <v>53</v>
      </c>
      <c r="D12" s="4" t="s">
        <v>54</v>
      </c>
      <c r="E12" s="3">
        <v>46209</v>
      </c>
      <c r="F12" s="3">
        <v>46209</v>
      </c>
      <c r="G12" s="2">
        <f>F12-E12+1</f>
        <v>1</v>
      </c>
      <c r="H12" s="2">
        <f>ROUND(G12/7,1)</f>
        <v>0.1</v>
      </c>
      <c r="I12" s="2" t="s">
        <v>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x14ac:dyDescent="0.2">
      <c r="A13" s="19" t="s">
        <v>55</v>
      </c>
      <c r="B13" s="20" t="s">
        <v>39</v>
      </c>
      <c r="C13" s="20"/>
      <c r="D13" s="20"/>
      <c r="E13" s="21">
        <v>46210</v>
      </c>
      <c r="F13" s="21">
        <v>46233</v>
      </c>
      <c r="G13" s="20">
        <f>F13-E13+1</f>
        <v>24</v>
      </c>
      <c r="H13" s="20">
        <f>ROUND(G13/7,1)</f>
        <v>3.4</v>
      </c>
      <c r="I13" s="20" t="s">
        <v>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x14ac:dyDescent="0.2">
      <c r="A14" s="23" t="s">
        <v>55</v>
      </c>
      <c r="B14" s="24" t="s">
        <v>41</v>
      </c>
      <c r="C14" s="23" t="s">
        <v>56</v>
      </c>
      <c r="D14" s="24"/>
      <c r="E14" s="24"/>
      <c r="F14" s="24"/>
      <c r="G14" s="24"/>
      <c r="H14" s="24"/>
      <c r="I14" s="24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x14ac:dyDescent="0.2">
      <c r="A15" s="4" t="s">
        <v>55</v>
      </c>
      <c r="B15" s="2" t="s">
        <v>42</v>
      </c>
      <c r="C15" s="4" t="s">
        <v>56</v>
      </c>
      <c r="D15" s="4" t="s">
        <v>57</v>
      </c>
      <c r="E15" s="3">
        <v>46210</v>
      </c>
      <c r="F15" s="3">
        <v>46211</v>
      </c>
      <c r="G15" s="2">
        <f>F15-E15+1</f>
        <v>2</v>
      </c>
      <c r="H15" s="2">
        <f>ROUND(G15/7,1)</f>
        <v>0.3</v>
      </c>
      <c r="I15" s="2" t="s">
        <v>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x14ac:dyDescent="0.2">
      <c r="A16" s="4" t="s">
        <v>55</v>
      </c>
      <c r="B16" s="2" t="s">
        <v>42</v>
      </c>
      <c r="C16" s="4" t="s">
        <v>56</v>
      </c>
      <c r="D16" s="4" t="s">
        <v>58</v>
      </c>
      <c r="E16" s="3">
        <v>46212</v>
      </c>
      <c r="F16" s="3">
        <v>46213</v>
      </c>
      <c r="G16" s="2">
        <f>F16-E16+1</f>
        <v>2</v>
      </c>
      <c r="H16" s="2">
        <f>ROUND(G16/7,1)</f>
        <v>0.3</v>
      </c>
      <c r="I16" s="2" t="s">
        <v>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x14ac:dyDescent="0.2">
      <c r="A17" s="23" t="s">
        <v>55</v>
      </c>
      <c r="B17" s="24" t="s">
        <v>41</v>
      </c>
      <c r="C17" s="23" t="s">
        <v>59</v>
      </c>
      <c r="D17" s="24"/>
      <c r="E17" s="24"/>
      <c r="F17" s="24"/>
      <c r="G17" s="24"/>
      <c r="H17" s="24"/>
      <c r="I17" s="2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x14ac:dyDescent="0.2">
      <c r="A18" s="4" t="s">
        <v>55</v>
      </c>
      <c r="B18" s="2" t="s">
        <v>42</v>
      </c>
      <c r="C18" s="4" t="s">
        <v>59</v>
      </c>
      <c r="D18" s="4" t="s">
        <v>60</v>
      </c>
      <c r="E18" s="3">
        <v>46214</v>
      </c>
      <c r="F18" s="3">
        <v>46218</v>
      </c>
      <c r="G18" s="2">
        <f>F18-E18+1</f>
        <v>5</v>
      </c>
      <c r="H18" s="2">
        <f>ROUND(G18/7,1)</f>
        <v>0.7</v>
      </c>
      <c r="I18" s="2" t="s">
        <v>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x14ac:dyDescent="0.2">
      <c r="A19" s="23" t="s">
        <v>55</v>
      </c>
      <c r="B19" s="24" t="s">
        <v>41</v>
      </c>
      <c r="C19" s="23" t="s">
        <v>61</v>
      </c>
      <c r="D19" s="24"/>
      <c r="E19" s="24"/>
      <c r="F19" s="24"/>
      <c r="G19" s="24"/>
      <c r="H19" s="24"/>
      <c r="I19" s="24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x14ac:dyDescent="0.2">
      <c r="A20" s="4" t="s">
        <v>55</v>
      </c>
      <c r="B20" s="2" t="s">
        <v>42</v>
      </c>
      <c r="C20" s="4" t="s">
        <v>61</v>
      </c>
      <c r="D20" s="4" t="s">
        <v>62</v>
      </c>
      <c r="E20" s="3">
        <v>46219</v>
      </c>
      <c r="F20" s="3">
        <v>46220</v>
      </c>
      <c r="G20" s="2">
        <f>F20-E20+1</f>
        <v>2</v>
      </c>
      <c r="H20" s="2">
        <f>ROUND(G20/7,1)</f>
        <v>0.3</v>
      </c>
      <c r="I20" s="2" t="s">
        <v>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x14ac:dyDescent="0.2">
      <c r="A21" s="4" t="s">
        <v>55</v>
      </c>
      <c r="B21" s="2" t="s">
        <v>42</v>
      </c>
      <c r="C21" s="4" t="s">
        <v>61</v>
      </c>
      <c r="D21" s="4" t="s">
        <v>63</v>
      </c>
      <c r="E21" s="3">
        <v>46221</v>
      </c>
      <c r="F21" s="3">
        <v>46222</v>
      </c>
      <c r="G21" s="2">
        <f>F21-E21+1</f>
        <v>2</v>
      </c>
      <c r="H21" s="2">
        <f>ROUND(G21/7,1)</f>
        <v>0.3</v>
      </c>
      <c r="I21" s="2" t="s">
        <v>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x14ac:dyDescent="0.2">
      <c r="A22" s="23" t="s">
        <v>55</v>
      </c>
      <c r="B22" s="24" t="s">
        <v>41</v>
      </c>
      <c r="C22" s="23" t="s">
        <v>64</v>
      </c>
      <c r="D22" s="24"/>
      <c r="E22" s="24"/>
      <c r="F22" s="24"/>
      <c r="G22" s="24"/>
      <c r="H22" s="24"/>
      <c r="I22" s="24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x14ac:dyDescent="0.2">
      <c r="A23" s="4" t="s">
        <v>55</v>
      </c>
      <c r="B23" s="2" t="s">
        <v>42</v>
      </c>
      <c r="C23" s="4" t="s">
        <v>64</v>
      </c>
      <c r="D23" s="4" t="s">
        <v>65</v>
      </c>
      <c r="E23" s="3">
        <v>46223</v>
      </c>
      <c r="F23" s="3">
        <v>46226</v>
      </c>
      <c r="G23" s="2">
        <f>F23-E23+1</f>
        <v>4</v>
      </c>
      <c r="H23" s="2">
        <f>ROUND(G23/7,1)</f>
        <v>0.6</v>
      </c>
      <c r="I23" s="2" t="s">
        <v>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x14ac:dyDescent="0.2">
      <c r="A24" s="4" t="s">
        <v>55</v>
      </c>
      <c r="B24" s="2" t="s">
        <v>42</v>
      </c>
      <c r="C24" s="4" t="s">
        <v>64</v>
      </c>
      <c r="D24" s="4" t="s">
        <v>66</v>
      </c>
      <c r="E24" s="3">
        <v>46227</v>
      </c>
      <c r="F24" s="3">
        <v>46228</v>
      </c>
      <c r="G24" s="2">
        <f>F24-E24+1</f>
        <v>2</v>
      </c>
      <c r="H24" s="2">
        <f>ROUND(G24/7,1)</f>
        <v>0.3</v>
      </c>
      <c r="I24" s="2" t="s">
        <v>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x14ac:dyDescent="0.2">
      <c r="A25" s="23" t="s">
        <v>55</v>
      </c>
      <c r="B25" s="24" t="s">
        <v>41</v>
      </c>
      <c r="C25" s="23" t="s">
        <v>67</v>
      </c>
      <c r="D25" s="24"/>
      <c r="E25" s="24"/>
      <c r="F25" s="24"/>
      <c r="G25" s="24"/>
      <c r="H25" s="24"/>
      <c r="I25" s="24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x14ac:dyDescent="0.2">
      <c r="A26" s="4" t="s">
        <v>55</v>
      </c>
      <c r="B26" s="2" t="s">
        <v>42</v>
      </c>
      <c r="C26" s="4" t="s">
        <v>67</v>
      </c>
      <c r="D26" s="4" t="s">
        <v>68</v>
      </c>
      <c r="E26" s="3">
        <v>46229</v>
      </c>
      <c r="F26" s="3">
        <v>46231</v>
      </c>
      <c r="G26" s="2">
        <f>F26-E26+1</f>
        <v>3</v>
      </c>
      <c r="H26" s="2">
        <f>ROUND(G26/7,1)</f>
        <v>0.4</v>
      </c>
      <c r="I26" s="2" t="s">
        <v>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x14ac:dyDescent="0.2">
      <c r="A27" s="4" t="s">
        <v>55</v>
      </c>
      <c r="B27" s="2" t="s">
        <v>42</v>
      </c>
      <c r="C27" s="4" t="s">
        <v>67</v>
      </c>
      <c r="D27" s="4" t="s">
        <v>69</v>
      </c>
      <c r="E27" s="3">
        <v>46232</v>
      </c>
      <c r="F27" s="3">
        <v>46233</v>
      </c>
      <c r="G27" s="2">
        <f>F27-E27+1</f>
        <v>2</v>
      </c>
      <c r="H27" s="2">
        <f>ROUND(G27/7,1)</f>
        <v>0.3</v>
      </c>
      <c r="I27" s="2" t="s">
        <v>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x14ac:dyDescent="0.2">
      <c r="A28" s="19" t="s">
        <v>70</v>
      </c>
      <c r="B28" s="20" t="s">
        <v>39</v>
      </c>
      <c r="C28" s="20"/>
      <c r="D28" s="20"/>
      <c r="E28" s="21">
        <v>46234</v>
      </c>
      <c r="F28" s="21">
        <v>46251</v>
      </c>
      <c r="G28" s="20">
        <f>F28-E28+1</f>
        <v>18</v>
      </c>
      <c r="H28" s="20">
        <f>ROUND(G28/7,1)</f>
        <v>2.6</v>
      </c>
      <c r="I28" s="20" t="s">
        <v>19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28" x14ac:dyDescent="0.2">
      <c r="A29" s="23" t="s">
        <v>70</v>
      </c>
      <c r="B29" s="24" t="s">
        <v>41</v>
      </c>
      <c r="C29" s="23" t="s">
        <v>71</v>
      </c>
      <c r="D29" s="24"/>
      <c r="E29" s="24"/>
      <c r="F29" s="24"/>
      <c r="G29" s="24"/>
      <c r="H29" s="24"/>
      <c r="I29" s="2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28" x14ac:dyDescent="0.2">
      <c r="A30" s="4" t="s">
        <v>70</v>
      </c>
      <c r="B30" s="2" t="s">
        <v>42</v>
      </c>
      <c r="C30" s="4" t="s">
        <v>71</v>
      </c>
      <c r="D30" s="4" t="s">
        <v>72</v>
      </c>
      <c r="E30" s="3">
        <v>46234</v>
      </c>
      <c r="F30" s="3">
        <v>46236</v>
      </c>
      <c r="G30" s="2">
        <f>F30-E30+1</f>
        <v>3</v>
      </c>
      <c r="H30" s="2">
        <f>ROUND(G30/7,1)</f>
        <v>0.4</v>
      </c>
      <c r="I30" s="2" t="s">
        <v>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28" x14ac:dyDescent="0.2">
      <c r="A31" s="4" t="s">
        <v>70</v>
      </c>
      <c r="B31" s="2" t="s">
        <v>42</v>
      </c>
      <c r="C31" s="4" t="s">
        <v>71</v>
      </c>
      <c r="D31" s="4" t="s">
        <v>73</v>
      </c>
      <c r="E31" s="3">
        <v>46237</v>
      </c>
      <c r="F31" s="3">
        <v>46239</v>
      </c>
      <c r="G31" s="2">
        <f>F31-E31+1</f>
        <v>3</v>
      </c>
      <c r="H31" s="2">
        <f>ROUND(G31/7,1)</f>
        <v>0.4</v>
      </c>
      <c r="I31" s="2" t="s">
        <v>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28" x14ac:dyDescent="0.2">
      <c r="A32" s="23" t="s">
        <v>70</v>
      </c>
      <c r="B32" s="24" t="s">
        <v>41</v>
      </c>
      <c r="C32" s="23" t="s">
        <v>74</v>
      </c>
      <c r="D32" s="24"/>
      <c r="E32" s="24"/>
      <c r="F32" s="24"/>
      <c r="G32" s="24"/>
      <c r="H32" s="24"/>
      <c r="I32" s="24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28" x14ac:dyDescent="0.2">
      <c r="A33" s="4" t="s">
        <v>70</v>
      </c>
      <c r="B33" s="2" t="s">
        <v>42</v>
      </c>
      <c r="C33" s="4" t="s">
        <v>74</v>
      </c>
      <c r="D33" s="4" t="s">
        <v>75</v>
      </c>
      <c r="E33" s="3">
        <v>46240</v>
      </c>
      <c r="F33" s="3">
        <v>46242</v>
      </c>
      <c r="G33" s="2">
        <f>F33-E33+1</f>
        <v>3</v>
      </c>
      <c r="H33" s="2">
        <f>ROUND(G33/7,1)</f>
        <v>0.4</v>
      </c>
      <c r="I33" s="2" t="s">
        <v>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28" x14ac:dyDescent="0.2">
      <c r="A34" s="4" t="s">
        <v>70</v>
      </c>
      <c r="B34" s="2" t="s">
        <v>42</v>
      </c>
      <c r="C34" s="4" t="s">
        <v>74</v>
      </c>
      <c r="D34" s="4" t="s">
        <v>76</v>
      </c>
      <c r="E34" s="3">
        <v>46243</v>
      </c>
      <c r="F34" s="3">
        <v>46245</v>
      </c>
      <c r="G34" s="2">
        <f>F34-E34+1</f>
        <v>3</v>
      </c>
      <c r="H34" s="2">
        <f>ROUND(G34/7,1)</f>
        <v>0.4</v>
      </c>
      <c r="I34" s="2" t="s">
        <v>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28" x14ac:dyDescent="0.2">
      <c r="A35" s="4" t="s">
        <v>70</v>
      </c>
      <c r="B35" s="2" t="s">
        <v>42</v>
      </c>
      <c r="C35" s="4" t="s">
        <v>74</v>
      </c>
      <c r="D35" s="4" t="s">
        <v>77</v>
      </c>
      <c r="E35" s="3">
        <v>46246</v>
      </c>
      <c r="F35" s="3">
        <v>46248</v>
      </c>
      <c r="G35" s="2">
        <f>F35-E35+1</f>
        <v>3</v>
      </c>
      <c r="H35" s="2">
        <f>ROUND(G35/7,1)</f>
        <v>0.4</v>
      </c>
      <c r="I35" s="2" t="s">
        <v>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x14ac:dyDescent="0.2">
      <c r="A36" s="23" t="s">
        <v>70</v>
      </c>
      <c r="B36" s="24" t="s">
        <v>41</v>
      </c>
      <c r="C36" s="23" t="s">
        <v>78</v>
      </c>
      <c r="D36" s="24"/>
      <c r="E36" s="24"/>
      <c r="F36" s="24"/>
      <c r="G36" s="24"/>
      <c r="H36" s="24"/>
      <c r="I36" s="24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x14ac:dyDescent="0.2">
      <c r="A37" s="4" t="s">
        <v>70</v>
      </c>
      <c r="B37" s="2" t="s">
        <v>42</v>
      </c>
      <c r="C37" s="4" t="s">
        <v>78</v>
      </c>
      <c r="D37" s="4" t="s">
        <v>79</v>
      </c>
      <c r="E37" s="3">
        <v>46249</v>
      </c>
      <c r="F37" s="3">
        <v>46250</v>
      </c>
      <c r="G37" s="2">
        <f>F37-E37+1</f>
        <v>2</v>
      </c>
      <c r="H37" s="2">
        <f>ROUND(G37/7,1)</f>
        <v>0.3</v>
      </c>
      <c r="I37" s="2" t="s">
        <v>23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x14ac:dyDescent="0.2">
      <c r="A38" s="4" t="s">
        <v>70</v>
      </c>
      <c r="B38" s="2" t="s">
        <v>42</v>
      </c>
      <c r="C38" s="4" t="s">
        <v>78</v>
      </c>
      <c r="D38" s="4" t="s">
        <v>80</v>
      </c>
      <c r="E38" s="3">
        <v>46251</v>
      </c>
      <c r="F38" s="3">
        <v>46251</v>
      </c>
      <c r="G38" s="2">
        <f>F38-E38+1</f>
        <v>1</v>
      </c>
      <c r="H38" s="2">
        <f>ROUND(G38/7,1)</f>
        <v>0.1</v>
      </c>
      <c r="I38" s="2" t="s">
        <v>23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28" x14ac:dyDescent="0.2">
      <c r="A39" s="19" t="s">
        <v>81</v>
      </c>
      <c r="B39" s="20" t="s">
        <v>39</v>
      </c>
      <c r="C39" s="20"/>
      <c r="D39" s="20"/>
      <c r="E39" s="21">
        <v>46252</v>
      </c>
      <c r="F39" s="21">
        <v>46256</v>
      </c>
      <c r="G39" s="20">
        <f>F39-E39+1</f>
        <v>5</v>
      </c>
      <c r="H39" s="20">
        <f>ROUND(G39/7,1)</f>
        <v>0.7</v>
      </c>
      <c r="I39" s="20" t="s">
        <v>23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28" x14ac:dyDescent="0.2">
      <c r="A40" s="23" t="s">
        <v>81</v>
      </c>
      <c r="B40" s="24" t="s">
        <v>41</v>
      </c>
      <c r="C40" s="23" t="s">
        <v>82</v>
      </c>
      <c r="D40" s="24"/>
      <c r="E40" s="24"/>
      <c r="F40" s="24"/>
      <c r="G40" s="24"/>
      <c r="H40" s="24"/>
      <c r="I40" s="24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28" x14ac:dyDescent="0.2">
      <c r="A41" s="4" t="s">
        <v>81</v>
      </c>
      <c r="B41" s="2" t="s">
        <v>42</v>
      </c>
      <c r="C41" s="4" t="s">
        <v>82</v>
      </c>
      <c r="D41" s="4" t="s">
        <v>83</v>
      </c>
      <c r="E41" s="3">
        <v>46252</v>
      </c>
      <c r="F41" s="3">
        <v>46253</v>
      </c>
      <c r="G41" s="2">
        <f>F41-E41+1</f>
        <v>2</v>
      </c>
      <c r="H41" s="2">
        <f>ROUND(G41/7,1)</f>
        <v>0.3</v>
      </c>
      <c r="I41" s="2" t="s">
        <v>23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28" x14ac:dyDescent="0.2">
      <c r="A42" s="4" t="s">
        <v>81</v>
      </c>
      <c r="B42" s="2" t="s">
        <v>42</v>
      </c>
      <c r="C42" s="4" t="s">
        <v>82</v>
      </c>
      <c r="D42" s="4" t="s">
        <v>84</v>
      </c>
      <c r="E42" s="3">
        <v>46254</v>
      </c>
      <c r="F42" s="3">
        <v>46254</v>
      </c>
      <c r="G42" s="2">
        <f>F42-E42+1</f>
        <v>1</v>
      </c>
      <c r="H42" s="2">
        <f>ROUND(G42/7,1)</f>
        <v>0.1</v>
      </c>
      <c r="I42" s="2" t="s">
        <v>23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28" x14ac:dyDescent="0.2">
      <c r="A43" s="23" t="s">
        <v>81</v>
      </c>
      <c r="B43" s="24" t="s">
        <v>41</v>
      </c>
      <c r="C43" s="23" t="s">
        <v>85</v>
      </c>
      <c r="D43" s="24"/>
      <c r="E43" s="24"/>
      <c r="F43" s="24"/>
      <c r="G43" s="24"/>
      <c r="H43" s="24"/>
      <c r="I43" s="24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28" x14ac:dyDescent="0.2">
      <c r="A44" s="4" t="s">
        <v>81</v>
      </c>
      <c r="B44" s="2" t="s">
        <v>42</v>
      </c>
      <c r="C44" s="4" t="s">
        <v>85</v>
      </c>
      <c r="D44" s="4" t="s">
        <v>86</v>
      </c>
      <c r="E44" s="3">
        <v>46255</v>
      </c>
      <c r="F44" s="3">
        <v>46255</v>
      </c>
      <c r="G44" s="2">
        <f>F44-E44+1</f>
        <v>1</v>
      </c>
      <c r="H44" s="2">
        <f>ROUND(G44/7,1)</f>
        <v>0.1</v>
      </c>
      <c r="I44" s="2" t="s">
        <v>23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28" x14ac:dyDescent="0.2">
      <c r="A45" s="4" t="s">
        <v>81</v>
      </c>
      <c r="B45" s="2" t="s">
        <v>42</v>
      </c>
      <c r="C45" s="4" t="s">
        <v>85</v>
      </c>
      <c r="D45" s="4" t="s">
        <v>87</v>
      </c>
      <c r="E45" s="3">
        <v>46256</v>
      </c>
      <c r="F45" s="3">
        <v>46256</v>
      </c>
      <c r="G45" s="2">
        <f>F45-E45+1</f>
        <v>1</v>
      </c>
      <c r="H45" s="2">
        <f>ROUND(G45/7,1)</f>
        <v>0.1</v>
      </c>
      <c r="I45" s="2" t="s">
        <v>23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28" x14ac:dyDescent="0.2">
      <c r="A46" s="19" t="s">
        <v>88</v>
      </c>
      <c r="B46" s="20" t="s">
        <v>39</v>
      </c>
      <c r="C46" s="20"/>
      <c r="D46" s="20"/>
      <c r="E46" s="21">
        <v>46210</v>
      </c>
      <c r="F46" s="21">
        <v>46257</v>
      </c>
      <c r="G46" s="20">
        <f>F46-E46+1</f>
        <v>48</v>
      </c>
      <c r="H46" s="20">
        <f>ROUND(G46/7,1)</f>
        <v>6.9</v>
      </c>
      <c r="I46" s="20" t="s">
        <v>19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28" x14ac:dyDescent="0.2">
      <c r="A47" s="23" t="s">
        <v>88</v>
      </c>
      <c r="B47" s="24" t="s">
        <v>41</v>
      </c>
      <c r="C47" s="23" t="s">
        <v>89</v>
      </c>
      <c r="D47" s="24"/>
      <c r="E47" s="24"/>
      <c r="F47" s="24"/>
      <c r="G47" s="24"/>
      <c r="H47" s="24"/>
      <c r="I47" s="24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28" x14ac:dyDescent="0.2">
      <c r="A48" s="4" t="s">
        <v>88</v>
      </c>
      <c r="B48" s="2" t="s">
        <v>42</v>
      </c>
      <c r="C48" s="4" t="s">
        <v>89</v>
      </c>
      <c r="D48" s="4" t="s">
        <v>90</v>
      </c>
      <c r="E48" s="3">
        <v>46210</v>
      </c>
      <c r="F48" s="3">
        <v>46228</v>
      </c>
      <c r="G48" s="2">
        <f>F48-E48+1</f>
        <v>19</v>
      </c>
      <c r="H48" s="2">
        <f>ROUND(G48/7,1)</f>
        <v>2.7</v>
      </c>
      <c r="I48" s="2" t="s">
        <v>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28" x14ac:dyDescent="0.2">
      <c r="A49" s="23" t="s">
        <v>88</v>
      </c>
      <c r="B49" s="24" t="s">
        <v>41</v>
      </c>
      <c r="C49" s="23" t="s">
        <v>91</v>
      </c>
      <c r="D49" s="24"/>
      <c r="E49" s="24"/>
      <c r="F49" s="24"/>
      <c r="G49" s="24"/>
      <c r="H49" s="24"/>
      <c r="I49" s="24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28" x14ac:dyDescent="0.2">
      <c r="A50" s="4" t="s">
        <v>88</v>
      </c>
      <c r="B50" s="2" t="s">
        <v>42</v>
      </c>
      <c r="C50" s="4" t="s">
        <v>91</v>
      </c>
      <c r="D50" s="4" t="s">
        <v>92</v>
      </c>
      <c r="E50" s="3">
        <v>46237</v>
      </c>
      <c r="F50" s="3">
        <v>46250</v>
      </c>
      <c r="G50" s="2">
        <f>F50-E50+1</f>
        <v>14</v>
      </c>
      <c r="H50" s="2">
        <f>ROUND(G50/7,1)</f>
        <v>2</v>
      </c>
      <c r="I50" s="2" t="s">
        <v>19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28" x14ac:dyDescent="0.2">
      <c r="A51" s="23" t="s">
        <v>88</v>
      </c>
      <c r="B51" s="24" t="s">
        <v>41</v>
      </c>
      <c r="C51" s="23" t="s">
        <v>93</v>
      </c>
      <c r="D51" s="24"/>
      <c r="E51" s="24"/>
      <c r="F51" s="24"/>
      <c r="G51" s="24"/>
      <c r="H51" s="24"/>
      <c r="I51" s="24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28" x14ac:dyDescent="0.2">
      <c r="A52" s="4" t="s">
        <v>88</v>
      </c>
      <c r="B52" s="2" t="s">
        <v>42</v>
      </c>
      <c r="C52" s="4" t="s">
        <v>93</v>
      </c>
      <c r="D52" s="4" t="s">
        <v>94</v>
      </c>
      <c r="E52" s="3">
        <v>46251</v>
      </c>
      <c r="F52" s="3">
        <v>46257</v>
      </c>
      <c r="G52" s="2">
        <f>F52-E52+1</f>
        <v>7</v>
      </c>
      <c r="H52" s="2">
        <f>ROUND(G52/7,1)</f>
        <v>1</v>
      </c>
      <c r="I52" s="2" t="s">
        <v>19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28" x14ac:dyDescent="0.2">
      <c r="A53" s="19" t="s">
        <v>95</v>
      </c>
      <c r="B53" s="20" t="s">
        <v>39</v>
      </c>
      <c r="C53" s="20"/>
      <c r="D53" s="20"/>
      <c r="E53" s="21">
        <v>46258</v>
      </c>
      <c r="F53" s="21">
        <v>46271</v>
      </c>
      <c r="G53" s="20">
        <f>F53-E53+1</f>
        <v>14</v>
      </c>
      <c r="H53" s="20">
        <f>ROUND(G53/7,1)</f>
        <v>2</v>
      </c>
      <c r="I53" s="20" t="s">
        <v>23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28" x14ac:dyDescent="0.2">
      <c r="A54" s="23" t="s">
        <v>95</v>
      </c>
      <c r="B54" s="24" t="s">
        <v>41</v>
      </c>
      <c r="C54" s="23" t="s">
        <v>96</v>
      </c>
      <c r="D54" s="24"/>
      <c r="E54" s="24"/>
      <c r="F54" s="24"/>
      <c r="G54" s="24"/>
      <c r="H54" s="24"/>
      <c r="I54" s="24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28" x14ac:dyDescent="0.2">
      <c r="A55" s="4" t="s">
        <v>95</v>
      </c>
      <c r="B55" s="2" t="s">
        <v>42</v>
      </c>
      <c r="C55" s="4" t="s">
        <v>96</v>
      </c>
      <c r="D55" s="4" t="s">
        <v>97</v>
      </c>
      <c r="E55" s="3">
        <v>46258</v>
      </c>
      <c r="F55" s="3">
        <v>46264</v>
      </c>
      <c r="G55" s="2">
        <f>F55-E55+1</f>
        <v>7</v>
      </c>
      <c r="H55" s="2">
        <f>ROUND(G55/7,1)</f>
        <v>1</v>
      </c>
      <c r="I55" s="2" t="s">
        <v>23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28" x14ac:dyDescent="0.2">
      <c r="A56" s="23" t="s">
        <v>95</v>
      </c>
      <c r="B56" s="24" t="s">
        <v>41</v>
      </c>
      <c r="C56" s="23" t="s">
        <v>98</v>
      </c>
      <c r="D56" s="24"/>
      <c r="E56" s="24"/>
      <c r="F56" s="24"/>
      <c r="G56" s="24"/>
      <c r="H56" s="24"/>
      <c r="I56" s="24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28" x14ac:dyDescent="0.2">
      <c r="A57" s="4" t="s">
        <v>95</v>
      </c>
      <c r="B57" s="2" t="s">
        <v>42</v>
      </c>
      <c r="C57" s="4" t="s">
        <v>98</v>
      </c>
      <c r="D57" s="4" t="s">
        <v>99</v>
      </c>
      <c r="E57" s="3">
        <v>46265</v>
      </c>
      <c r="F57" s="3">
        <v>46271</v>
      </c>
      <c r="G57" s="2">
        <f>F57-E57+1</f>
        <v>7</v>
      </c>
      <c r="H57" s="2">
        <f>ROUND(G57/7,1)</f>
        <v>1</v>
      </c>
      <c r="I57" s="2" t="s">
        <v>23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x14ac:dyDescent="0.2">
      <c r="A58" s="19" t="s">
        <v>100</v>
      </c>
      <c r="B58" s="20" t="s">
        <v>39</v>
      </c>
      <c r="C58" s="20"/>
      <c r="D58" s="20"/>
      <c r="E58" s="21">
        <v>46272</v>
      </c>
      <c r="F58" s="21">
        <v>46292</v>
      </c>
      <c r="G58" s="20">
        <f>F58-E58+1</f>
        <v>21</v>
      </c>
      <c r="H58" s="20">
        <f>ROUND(G58/7,1)</f>
        <v>3</v>
      </c>
      <c r="I58" s="20" t="s">
        <v>23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x14ac:dyDescent="0.2">
      <c r="A59" s="23" t="s">
        <v>100</v>
      </c>
      <c r="B59" s="24" t="s">
        <v>41</v>
      </c>
      <c r="C59" s="23" t="s">
        <v>122</v>
      </c>
      <c r="D59" s="24"/>
      <c r="E59" s="24"/>
      <c r="F59" s="24"/>
      <c r="G59" s="24"/>
      <c r="H59" s="24"/>
      <c r="I59" s="24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x14ac:dyDescent="0.2">
      <c r="A60" s="4" t="s">
        <v>100</v>
      </c>
      <c r="B60" s="2" t="s">
        <v>42</v>
      </c>
      <c r="C60" s="39" t="s">
        <v>122</v>
      </c>
      <c r="D60" s="39" t="s">
        <v>121</v>
      </c>
      <c r="E60" s="3">
        <v>46272</v>
      </c>
      <c r="F60" s="3">
        <v>46278</v>
      </c>
      <c r="G60" s="2">
        <f>F60-E60+1</f>
        <v>7</v>
      </c>
      <c r="H60" s="2">
        <f>ROUND(G60/7,1)</f>
        <v>1</v>
      </c>
      <c r="I60" s="2" t="s">
        <v>23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28" x14ac:dyDescent="0.2">
      <c r="A61" s="23" t="s">
        <v>100</v>
      </c>
      <c r="B61" s="24" t="s">
        <v>41</v>
      </c>
      <c r="C61" s="23" t="s">
        <v>101</v>
      </c>
      <c r="D61" s="24"/>
      <c r="E61" s="24"/>
      <c r="F61" s="24"/>
      <c r="G61" s="24"/>
      <c r="H61" s="24"/>
      <c r="I61" s="24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x14ac:dyDescent="0.2">
      <c r="A62" s="4" t="s">
        <v>100</v>
      </c>
      <c r="B62" s="2" t="s">
        <v>42</v>
      </c>
      <c r="C62" s="4" t="s">
        <v>101</v>
      </c>
      <c r="D62" s="4" t="s">
        <v>102</v>
      </c>
      <c r="E62" s="3">
        <v>46279</v>
      </c>
      <c r="F62" s="3">
        <v>46285</v>
      </c>
      <c r="G62" s="2">
        <f>F62-E62+1</f>
        <v>7</v>
      </c>
      <c r="H62" s="2">
        <f>ROUND(G62/7,1)</f>
        <v>1</v>
      </c>
      <c r="I62" s="2" t="s">
        <v>23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x14ac:dyDescent="0.2">
      <c r="A63" s="23" t="s">
        <v>100</v>
      </c>
      <c r="B63" s="24" t="s">
        <v>41</v>
      </c>
      <c r="C63" s="23" t="s">
        <v>103</v>
      </c>
      <c r="D63" s="24"/>
      <c r="E63" s="24"/>
      <c r="F63" s="24"/>
      <c r="G63" s="24"/>
      <c r="H63" s="24"/>
      <c r="I63" s="24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x14ac:dyDescent="0.2">
      <c r="A64" s="4" t="s">
        <v>100</v>
      </c>
      <c r="B64" s="2" t="s">
        <v>42</v>
      </c>
      <c r="C64" s="4" t="s">
        <v>103</v>
      </c>
      <c r="D64" s="4" t="s">
        <v>104</v>
      </c>
      <c r="E64" s="3">
        <v>46286</v>
      </c>
      <c r="F64" s="3">
        <v>46292</v>
      </c>
      <c r="G64" s="2">
        <f>F64-E64+1</f>
        <v>7</v>
      </c>
      <c r="H64" s="2">
        <f>ROUND(G64/7,1)</f>
        <v>1</v>
      </c>
      <c r="I64" s="2" t="s">
        <v>23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28" x14ac:dyDescent="0.2">
      <c r="A65" s="19" t="s">
        <v>105</v>
      </c>
      <c r="B65" s="20" t="s">
        <v>39</v>
      </c>
      <c r="C65" s="20"/>
      <c r="D65" s="20"/>
      <c r="E65" s="21">
        <v>46293</v>
      </c>
      <c r="F65" s="21">
        <v>46299</v>
      </c>
      <c r="G65" s="20">
        <f>F65-E65+1</f>
        <v>7</v>
      </c>
      <c r="H65" s="20">
        <f>ROUND(G65/7,1)</f>
        <v>1</v>
      </c>
      <c r="I65" s="20" t="s">
        <v>23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42" x14ac:dyDescent="0.2">
      <c r="A66" s="23" t="s">
        <v>105</v>
      </c>
      <c r="B66" s="24" t="s">
        <v>41</v>
      </c>
      <c r="C66" s="23" t="s">
        <v>106</v>
      </c>
      <c r="D66" s="24"/>
      <c r="E66" s="24"/>
      <c r="F66" s="24"/>
      <c r="G66" s="24"/>
      <c r="H66" s="24"/>
      <c r="I66" s="24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28" x14ac:dyDescent="0.2">
      <c r="A67" s="4" t="s">
        <v>105</v>
      </c>
      <c r="B67" s="2" t="s">
        <v>42</v>
      </c>
      <c r="C67" s="4" t="s">
        <v>106</v>
      </c>
      <c r="D67" s="4" t="s">
        <v>107</v>
      </c>
      <c r="E67" s="3">
        <v>46293</v>
      </c>
      <c r="F67" s="3">
        <v>46296</v>
      </c>
      <c r="G67" s="2">
        <f>F67-E67+1</f>
        <v>4</v>
      </c>
      <c r="H67" s="2">
        <f>ROUND(G67/7,1)</f>
        <v>0.6</v>
      </c>
      <c r="I67" s="2" t="s">
        <v>23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28" x14ac:dyDescent="0.2">
      <c r="A68" s="23" t="s">
        <v>105</v>
      </c>
      <c r="B68" s="24" t="s">
        <v>41</v>
      </c>
      <c r="C68" s="23" t="s">
        <v>108</v>
      </c>
      <c r="D68" s="24"/>
      <c r="E68" s="24"/>
      <c r="F68" s="24"/>
      <c r="G68" s="24"/>
      <c r="H68" s="24"/>
      <c r="I68" s="24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28" x14ac:dyDescent="0.2">
      <c r="A69" s="4" t="s">
        <v>105</v>
      </c>
      <c r="B69" s="2" t="s">
        <v>42</v>
      </c>
      <c r="C69" s="4" t="s">
        <v>108</v>
      </c>
      <c r="D69" s="4" t="s">
        <v>109</v>
      </c>
      <c r="E69" s="3">
        <v>46297</v>
      </c>
      <c r="F69" s="3">
        <v>46299</v>
      </c>
      <c r="G69" s="2">
        <f>F69-E69+1</f>
        <v>3</v>
      </c>
      <c r="H69" s="2">
        <f>ROUND(G69/7,1)</f>
        <v>0.4</v>
      </c>
      <c r="I69" s="2" t="s">
        <v>23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x14ac:dyDescent="0.2">
      <c r="A70" s="19" t="s">
        <v>110</v>
      </c>
      <c r="B70" s="20" t="s">
        <v>39</v>
      </c>
      <c r="C70" s="20"/>
      <c r="D70" s="20"/>
      <c r="E70" s="21">
        <v>46300</v>
      </c>
      <c r="F70" s="21">
        <v>46300</v>
      </c>
      <c r="G70" s="20">
        <f>F70-E70+1</f>
        <v>1</v>
      </c>
      <c r="H70" s="20">
        <f>ROUND(G70/7,1)</f>
        <v>0.1</v>
      </c>
      <c r="I70" s="20" t="s">
        <v>23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x14ac:dyDescent="0.2">
      <c r="A71" s="23" t="s">
        <v>110</v>
      </c>
      <c r="B71" s="24" t="s">
        <v>41</v>
      </c>
      <c r="C71" s="23" t="s">
        <v>111</v>
      </c>
      <c r="D71" s="24"/>
      <c r="E71" s="24"/>
      <c r="F71" s="24"/>
      <c r="G71" s="24"/>
      <c r="H71" s="24"/>
      <c r="I71" s="24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x14ac:dyDescent="0.2">
      <c r="A72" s="4" t="s">
        <v>110</v>
      </c>
      <c r="B72" s="2" t="s">
        <v>42</v>
      </c>
      <c r="C72" s="4" t="s">
        <v>111</v>
      </c>
      <c r="D72" s="4" t="s">
        <v>112</v>
      </c>
      <c r="E72" s="3">
        <v>46300</v>
      </c>
      <c r="F72" s="3">
        <v>46300</v>
      </c>
      <c r="G72" s="2">
        <f>F72-E72+1</f>
        <v>1</v>
      </c>
      <c r="H72" s="2">
        <f>ROUND(G72/7,1)</f>
        <v>0.1</v>
      </c>
      <c r="I72" s="2" t="s">
        <v>23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28" x14ac:dyDescent="0.2">
      <c r="A73" s="19" t="s">
        <v>113</v>
      </c>
      <c r="B73" s="20" t="s">
        <v>39</v>
      </c>
      <c r="C73" s="20"/>
      <c r="D73" s="20"/>
      <c r="E73" s="21">
        <v>46301</v>
      </c>
      <c r="F73" s="21">
        <v>46307</v>
      </c>
      <c r="G73" s="20">
        <f>F73-E73+1</f>
        <v>7</v>
      </c>
      <c r="H73" s="20">
        <f>ROUND(G73/7,1)</f>
        <v>1</v>
      </c>
      <c r="I73" s="20" t="s">
        <v>23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28" x14ac:dyDescent="0.2">
      <c r="A74" s="23" t="s">
        <v>113</v>
      </c>
      <c r="B74" s="24" t="s">
        <v>41</v>
      </c>
      <c r="C74" s="23" t="s">
        <v>114</v>
      </c>
      <c r="D74" s="24"/>
      <c r="E74" s="24"/>
      <c r="F74" s="24"/>
      <c r="G74" s="24"/>
      <c r="H74" s="24"/>
      <c r="I74" s="24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28" x14ac:dyDescent="0.2">
      <c r="A75" s="4" t="s">
        <v>113</v>
      </c>
      <c r="B75" s="2" t="s">
        <v>42</v>
      </c>
      <c r="C75" s="4" t="s">
        <v>114</v>
      </c>
      <c r="D75" s="4" t="s">
        <v>115</v>
      </c>
      <c r="E75" s="3">
        <v>46301</v>
      </c>
      <c r="F75" s="3">
        <v>46303</v>
      </c>
      <c r="G75" s="2">
        <f>F75-E75+1</f>
        <v>3</v>
      </c>
      <c r="H75" s="2">
        <f>ROUND(G75/7,1)</f>
        <v>0.4</v>
      </c>
      <c r="I75" s="2" t="s">
        <v>23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28" x14ac:dyDescent="0.2">
      <c r="A76" s="23" t="s">
        <v>113</v>
      </c>
      <c r="B76" s="24" t="s">
        <v>41</v>
      </c>
      <c r="C76" s="23" t="s">
        <v>116</v>
      </c>
      <c r="D76" s="24"/>
      <c r="E76" s="24"/>
      <c r="F76" s="24"/>
      <c r="G76" s="24"/>
      <c r="H76" s="24"/>
      <c r="I76" s="24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28" x14ac:dyDescent="0.2">
      <c r="A77" s="4" t="s">
        <v>113</v>
      </c>
      <c r="B77" s="2" t="s">
        <v>42</v>
      </c>
      <c r="C77" s="4" t="s">
        <v>116</v>
      </c>
      <c r="D77" s="4" t="s">
        <v>117</v>
      </c>
      <c r="E77" s="3">
        <v>46304</v>
      </c>
      <c r="F77" s="3">
        <v>46307</v>
      </c>
      <c r="G77" s="2">
        <f>F77-E77+1</f>
        <v>4</v>
      </c>
      <c r="H77" s="2">
        <f>ROUND(G77/7,1)</f>
        <v>0.6</v>
      </c>
      <c r="I77" s="2" t="s">
        <v>23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9" spans="1:31" x14ac:dyDescent="0.2">
      <c r="A79" s="31" t="s">
        <v>36</v>
      </c>
      <c r="B79" s="32" t="s">
        <v>9</v>
      </c>
      <c r="C79" s="33" t="s">
        <v>19</v>
      </c>
      <c r="D79" s="34" t="s">
        <v>23</v>
      </c>
      <c r="E79" s="35" t="s">
        <v>37</v>
      </c>
    </row>
    <row r="80" spans="1:31" x14ac:dyDescent="0.2">
      <c r="A80" s="31" t="s">
        <v>118</v>
      </c>
      <c r="B80" s="36" t="s">
        <v>39</v>
      </c>
      <c r="C80" s="37" t="s">
        <v>42</v>
      </c>
      <c r="D80" s="38"/>
      <c r="E80" s="38"/>
    </row>
    <row r="82" spans="1:2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</sheetData>
  <mergeCells count="2">
    <mergeCell ref="A1:AE1"/>
    <mergeCell ref="A82:U84"/>
  </mergeCells>
  <conditionalFormatting sqref="I3:I77">
    <cfRule type="expression" dxfId="5" priority="2">
      <formula>$I3="Completado"</formula>
    </cfRule>
    <cfRule type="expression" dxfId="4" priority="3">
      <formula>$I3="En progreso"</formula>
    </cfRule>
    <cfRule type="expression" dxfId="3" priority="4">
      <formula>$I3="Pendiente"</formula>
    </cfRule>
    <cfRule type="expression" dxfId="2" priority="5">
      <formula>$I3="Con observaciones"</formula>
    </cfRule>
  </conditionalFormatting>
  <conditionalFormatting sqref="J3:AE77">
    <cfRule type="expression" dxfId="1" priority="6">
      <formula>AND(J$2&lt;&gt;"",$B3="Fase",J$2&lt;=$F3,(J$2+6)&gt;=$E3)</formula>
    </cfRule>
    <cfRule type="expression" dxfId="0" priority="7">
      <formula>AND(J$2&lt;&gt;"",$B3="Subtarea",J$2&lt;=$F3,(J$2+6)&gt;=$E3)</formula>
    </cfRule>
  </conditionalFormatting>
  <dataValidations count="1">
    <dataValidation type="list" allowBlank="1" sqref="I3:I77" xr:uid="{00000000-0002-0000-0100-000000000000}">
      <formula1>"Pendiente,En progreso,Completado,Con observaciones"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semanal</vt:lpstr>
      <vt:lpstr>Gantt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ALUMNO - KARLA JEMIMA JANGE ZARATE</cp:lastModifiedBy>
  <cp:revision>0</cp:revision>
  <dcterms:created xsi:type="dcterms:W3CDTF">2026-08-23T21:31:57Z</dcterms:created>
  <dcterms:modified xsi:type="dcterms:W3CDTF">2026-08-23T21:53:00Z</dcterms:modified>
  <dc:language>en-US</dc:language>
</cp:coreProperties>
</file>