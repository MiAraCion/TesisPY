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utpedupe-my.sharepoint.com/personal/u17302707_utp_edu_pe/Documents/"/>
    </mc:Choice>
  </mc:AlternateContent>
  <xr:revisionPtr revIDLastSave="0" documentId="8_{9C0A1CAD-828A-4073-9AFB-E988823612C9}" xr6:coauthVersionLast="47" xr6:coauthVersionMax="47" xr10:uidLastSave="{00000000-0000-0000-0000-000000000000}"/>
  <bookViews>
    <workbookView xWindow="0" yWindow="660" windowWidth="28980" windowHeight="14620" tabRatio="500" xr2:uid="{00000000-000D-0000-FFFF-FFFF00000000}"/>
  </bookViews>
  <sheets>
    <sheet name="Gantt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5" i="1" l="1"/>
  <c r="G43" i="1"/>
  <c r="G42" i="1"/>
  <c r="G40" i="1"/>
  <c r="G39" i="1"/>
  <c r="G37" i="1"/>
  <c r="G36" i="1"/>
  <c r="G35" i="1"/>
  <c r="G33" i="1"/>
  <c r="G32" i="1"/>
  <c r="G30" i="1"/>
  <c r="G29" i="1"/>
  <c r="G28" i="1"/>
  <c r="G26" i="1"/>
  <c r="G25" i="1"/>
  <c r="G24" i="1"/>
  <c r="G22" i="1"/>
  <c r="G21" i="1"/>
  <c r="G19" i="1"/>
  <c r="G18" i="1"/>
  <c r="G17" i="1"/>
  <c r="G15" i="1"/>
  <c r="G14" i="1"/>
  <c r="G12" i="1"/>
  <c r="G11" i="1"/>
  <c r="G9" i="1"/>
  <c r="G7" i="1"/>
  <c r="G6" i="1"/>
  <c r="G4" i="1"/>
</calcChain>
</file>

<file path=xl/sharedStrings.xml><?xml version="1.0" encoding="utf-8"?>
<sst xmlns="http://schemas.openxmlformats.org/spreadsheetml/2006/main" count="155" uniqueCount="50">
  <si>
    <t>Cronograma — Predicción de riesgo de pérdida gestacional (ENDES)</t>
  </si>
  <si>
    <t>Fase</t>
  </si>
  <si>
    <t>Tipo</t>
  </si>
  <si>
    <t>Tarea</t>
  </si>
  <si>
    <t>Subtarea</t>
  </si>
  <si>
    <t>Inicio</t>
  </si>
  <si>
    <t>Fin</t>
  </si>
  <si>
    <t>Duración (días)</t>
  </si>
  <si>
    <t>Fase 1: Preparación de datos</t>
  </si>
  <si>
    <t>1.1. Extracción de datos</t>
  </si>
  <si>
    <t>1.1.1. Descarga de la base de datos ENDES 2022-2025</t>
  </si>
  <si>
    <t>1.1.2. Exploración inicial de la data</t>
  </si>
  <si>
    <t>1.2. Depuración y filtrado</t>
  </si>
  <si>
    <t>1.2.1. Aplicación de criterios de inclusión y exclusión</t>
  </si>
  <si>
    <t>1.3. Manejo de datos faltantes</t>
  </si>
  <si>
    <t>1.3.1. Identificación de valores atípicos y datos faltantes</t>
  </si>
  <si>
    <t>1.3.2. Tratamiento de datos inconsistentes</t>
  </si>
  <si>
    <t>1.4. Selección de características</t>
  </si>
  <si>
    <t>1.4.1. Implementación del algoritmo Boruta</t>
  </si>
  <si>
    <t>1.4.2. Identificación de variables con impacto real</t>
  </si>
  <si>
    <t>1.5. Balanceo de datos</t>
  </si>
  <si>
    <t>1.5.1. Aplicación de SMOTE o Borderline-SMOTE</t>
  </si>
  <si>
    <t>1.5.2. Validación de la distribución balanceada</t>
  </si>
  <si>
    <t>Fase 2: Modelado y evaluación</t>
  </si>
  <si>
    <t>2.1. Entrenamiento de modelos tradicionales</t>
  </si>
  <si>
    <t>2.1.1. Implementación de KNN</t>
  </si>
  <si>
    <t>2.1.2. Implementación de SVM</t>
  </si>
  <si>
    <t>2.2. Entrenamiento de modelos de ensamblaje</t>
  </si>
  <si>
    <t>2.2.1. Implementación de Random Forest</t>
  </si>
  <si>
    <t>2.2.2. Implementación de XGBoost</t>
  </si>
  <si>
    <t>2.2.3. Implementación de Gradient Boosting</t>
  </si>
  <si>
    <t>2.3. Evaluación y comparación</t>
  </si>
  <si>
    <t>2.3.1. Cálculo de métricas (AUC, F1-Score, Sensibilidad)</t>
  </si>
  <si>
    <t>2.3.2. Matriz de confusión y análisis comparativo</t>
  </si>
  <si>
    <t>Fase 3: Interpretación y análisis</t>
  </si>
  <si>
    <t>3.1. Inteligencia Artificial Explicable</t>
  </si>
  <si>
    <t>3.1.1. Implementación de SHAP</t>
  </si>
  <si>
    <t>3.1.2. Implementación de LIME</t>
  </si>
  <si>
    <t>3.2. Análisis de resultados</t>
  </si>
  <si>
    <t>3.2.1. Identificación de variables más influyentes</t>
  </si>
  <si>
    <t>3.2.2. Discusión de resultados</t>
  </si>
  <si>
    <t>Fase 4: Elaboración del artículo</t>
  </si>
  <si>
    <t>4.1. Redacción del artículo</t>
  </si>
  <si>
    <t>4.1.1. Redacción de metodología y resultados</t>
  </si>
  <si>
    <t>4.1.2. Redacción de conclusiones y recomendaciones</t>
  </si>
  <si>
    <t>4.2. Revisión y corrección</t>
  </si>
  <si>
    <t>4.2.1. Revisión por el asesor</t>
  </si>
  <si>
    <t>4.2.2. Correcciones finales</t>
  </si>
  <si>
    <t>4.3. Entrega final</t>
  </si>
  <si>
    <t>4.3.1. Formato y presentación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</si>
</sst>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m"/>
    <numFmt numFmtId="165" formatCode="dd/mm/yyyy"/>
  </numFmts>
  <fonts count="7">
    <font>
      <sz val="11"/>
      <color theme="1"/>
      <name val="Calibri"/>
      <family val="2"/>
      <charset val="1"/>
    </font>
    <font>
      <b/>
      <sz val="14"/>
      <color rgb="FF0F5C57"/>
      <name val="Arial"/>
      <family val="2"/>
    </font>
    <font>
      <b/>
      <sz val="10"/>
      <color rgb="FFFFFFFF"/>
      <name val="Arial"/>
      <family val="2"/>
    </font>
    <font>
      <sz val="8"/>
      <color rgb="FFFFFFFF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5C57"/>
        <bgColor rgb="FF008080"/>
      </patternFill>
    </fill>
    <fill>
      <patternFill patternType="solid">
        <fgColor rgb="FFFCE6D4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textRotation="90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/>
    <xf numFmtId="165" fontId="4" fillId="3" borderId="1" xfId="0" applyNumberFormat="1" applyFont="1" applyFill="1" applyBorder="1"/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/>
    <xf numFmtId="165" fontId="5" fillId="4" borderId="1" xfId="0" applyNumberFormat="1" applyFont="1" applyFill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165" fontId="6" fillId="0" borderId="1" xfId="0" applyNumberFormat="1" applyFont="1" applyBorder="1"/>
    <xf numFmtId="0" fontId="1" fillId="0" borderId="0" xfId="0" applyFont="1" applyAlignment="1"/>
  </cellXfs>
  <cellStyles count="1">
    <cellStyle name="Normal" xfId="0" builtinId="0"/>
  </cellStyles>
  <dxfs count="2">
    <dxf>
      <fill>
        <patternFill>
          <bgColor rgb="FFF2994A"/>
        </patternFill>
      </fill>
    </dxf>
    <dxf>
      <fill>
        <patternFill>
          <bgColor rgb="FF1B9C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C57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6D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994A"/>
      <rgbColor rgb="FFFF6600"/>
      <rgbColor rgb="FF666699"/>
      <rgbColor rgb="FF969696"/>
      <rgbColor rgb="FF003366"/>
      <rgbColor rgb="FF1B9C9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5"/>
  <sheetViews>
    <sheetView showGridLines="0" tabSelected="1" zoomScaleNormal="100" workbookViewId="0">
      <pane ySplit="3" topLeftCell="A4" activePane="bottomLeft" state="frozen"/>
      <selection pane="bottomLeft" sqref="A1:G1"/>
    </sheetView>
  </sheetViews>
  <sheetFormatPr defaultColWidth="8.7109375" defaultRowHeight="15"/>
  <cols>
    <col min="1" max="1" width="24" customWidth="1"/>
    <col min="2" max="2" width="10" customWidth="1"/>
    <col min="3" max="3" width="30" customWidth="1"/>
    <col min="4" max="4" width="42" customWidth="1"/>
    <col min="5" max="7" width="12" customWidth="1"/>
    <col min="8" max="69" width="3" customWidth="1"/>
  </cols>
  <sheetData>
    <row r="1" spans="1:69" ht="18">
      <c r="A1" s="12" t="s">
        <v>0</v>
      </c>
      <c r="B1" s="12"/>
      <c r="C1" s="12"/>
      <c r="D1" s="12"/>
      <c r="E1" s="12"/>
      <c r="F1" s="12"/>
      <c r="G1" s="12"/>
    </row>
    <row r="3" spans="1:69" ht="27.9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">
        <v>46210</v>
      </c>
      <c r="I3" s="2">
        <v>46211</v>
      </c>
      <c r="J3" s="2">
        <v>46212</v>
      </c>
      <c r="K3" s="2">
        <v>46213</v>
      </c>
      <c r="L3" s="2">
        <v>46214</v>
      </c>
      <c r="M3" s="2">
        <v>46215</v>
      </c>
      <c r="N3" s="2">
        <v>46216</v>
      </c>
      <c r="O3" s="2">
        <v>46217</v>
      </c>
      <c r="P3" s="2">
        <v>46218</v>
      </c>
      <c r="Q3" s="2">
        <v>46219</v>
      </c>
      <c r="R3" s="2">
        <v>46220</v>
      </c>
      <c r="S3" s="2">
        <v>46221</v>
      </c>
      <c r="T3" s="2">
        <v>46222</v>
      </c>
      <c r="U3" s="2">
        <v>46223</v>
      </c>
      <c r="V3" s="2">
        <v>46224</v>
      </c>
      <c r="W3" s="2">
        <v>46225</v>
      </c>
      <c r="X3" s="2">
        <v>46226</v>
      </c>
      <c r="Y3" s="2">
        <v>46227</v>
      </c>
      <c r="Z3" s="2">
        <v>46228</v>
      </c>
      <c r="AA3" s="2">
        <v>46229</v>
      </c>
      <c r="AB3" s="2">
        <v>46230</v>
      </c>
      <c r="AC3" s="2">
        <v>46231</v>
      </c>
      <c r="AD3" s="2">
        <v>46232</v>
      </c>
      <c r="AE3" s="2">
        <v>46233</v>
      </c>
      <c r="AF3" s="2">
        <v>46234</v>
      </c>
      <c r="AG3" s="2">
        <v>46235</v>
      </c>
      <c r="AH3" s="2">
        <v>46236</v>
      </c>
      <c r="AI3" s="2">
        <v>46237</v>
      </c>
      <c r="AJ3" s="2">
        <v>46238</v>
      </c>
      <c r="AK3" s="2">
        <v>46239</v>
      </c>
      <c r="AL3" s="2">
        <v>46240</v>
      </c>
      <c r="AM3" s="2">
        <v>46241</v>
      </c>
      <c r="AN3" s="2">
        <v>46242</v>
      </c>
      <c r="AO3" s="2">
        <v>46243</v>
      </c>
      <c r="AP3" s="2">
        <v>46244</v>
      </c>
      <c r="AQ3" s="2">
        <v>46245</v>
      </c>
      <c r="AR3" s="2">
        <v>46246</v>
      </c>
      <c r="AS3" s="2">
        <v>46247</v>
      </c>
      <c r="AT3" s="2">
        <v>46248</v>
      </c>
      <c r="AU3" s="2">
        <v>46249</v>
      </c>
      <c r="AV3" s="2">
        <v>46250</v>
      </c>
      <c r="AW3" s="2">
        <v>46251</v>
      </c>
      <c r="AX3" s="2">
        <v>46252</v>
      </c>
      <c r="AY3" s="2">
        <v>46253</v>
      </c>
      <c r="AZ3" s="2">
        <v>46254</v>
      </c>
      <c r="BA3" s="2">
        <v>46255</v>
      </c>
      <c r="BB3" s="2">
        <v>46256</v>
      </c>
      <c r="BC3" s="2">
        <v>46257</v>
      </c>
      <c r="BD3" s="2">
        <v>46258</v>
      </c>
      <c r="BE3" s="2">
        <v>46259</v>
      </c>
      <c r="BF3" s="2">
        <v>46260</v>
      </c>
      <c r="BG3" s="2">
        <v>46261</v>
      </c>
      <c r="BH3" s="2">
        <v>46262</v>
      </c>
      <c r="BI3" s="2">
        <v>46263</v>
      </c>
      <c r="BJ3" s="2">
        <v>46264</v>
      </c>
      <c r="BK3" s="2">
        <v>46265</v>
      </c>
      <c r="BL3" s="2">
        <v>46266</v>
      </c>
      <c r="BM3" s="2">
        <v>46267</v>
      </c>
      <c r="BN3" s="2">
        <v>46268</v>
      </c>
      <c r="BO3" s="2">
        <v>46269</v>
      </c>
      <c r="BP3" s="2">
        <v>46270</v>
      </c>
      <c r="BQ3" s="2">
        <v>46271</v>
      </c>
    </row>
    <row r="4" spans="1:69" ht="27.95">
      <c r="A4" s="3" t="s">
        <v>8</v>
      </c>
      <c r="B4" s="4" t="s">
        <v>1</v>
      </c>
      <c r="C4" s="3"/>
      <c r="D4" s="3"/>
      <c r="E4" s="5">
        <v>46210</v>
      </c>
      <c r="F4" s="5">
        <v>46233</v>
      </c>
      <c r="G4" s="4">
        <f>F4-E4+1</f>
        <v>24</v>
      </c>
    </row>
    <row r="5" spans="1:69" ht="27.95">
      <c r="A5" s="6" t="s">
        <v>8</v>
      </c>
      <c r="B5" s="7" t="s">
        <v>3</v>
      </c>
      <c r="C5" s="6" t="s">
        <v>9</v>
      </c>
      <c r="D5" s="6"/>
      <c r="E5" s="8"/>
      <c r="F5" s="8"/>
      <c r="G5" s="7"/>
    </row>
    <row r="6" spans="1:69" ht="27.95">
      <c r="A6" s="9" t="s">
        <v>8</v>
      </c>
      <c r="B6" s="10" t="s">
        <v>4</v>
      </c>
      <c r="C6" s="9" t="s">
        <v>9</v>
      </c>
      <c r="D6" s="9" t="s">
        <v>10</v>
      </c>
      <c r="E6" s="11">
        <v>46210</v>
      </c>
      <c r="F6" s="11">
        <v>46211</v>
      </c>
      <c r="G6" s="10">
        <f>F6-E6+1</f>
        <v>2</v>
      </c>
    </row>
    <row r="7" spans="1:69" ht="27.95">
      <c r="A7" s="9" t="s">
        <v>8</v>
      </c>
      <c r="B7" s="10" t="s">
        <v>4</v>
      </c>
      <c r="C7" s="9" t="s">
        <v>9</v>
      </c>
      <c r="D7" s="9" t="s">
        <v>11</v>
      </c>
      <c r="E7" s="11">
        <v>46212</v>
      </c>
      <c r="F7" s="11">
        <v>46213</v>
      </c>
      <c r="G7" s="10">
        <f>F7-E7+1</f>
        <v>2</v>
      </c>
    </row>
    <row r="8" spans="1:69" ht="27.95">
      <c r="A8" s="6" t="s">
        <v>8</v>
      </c>
      <c r="B8" s="7" t="s">
        <v>3</v>
      </c>
      <c r="C8" s="6" t="s">
        <v>12</v>
      </c>
      <c r="D8" s="6"/>
      <c r="E8" s="8"/>
      <c r="F8" s="8"/>
      <c r="G8" s="7"/>
    </row>
    <row r="9" spans="1:69" ht="27.95">
      <c r="A9" s="9" t="s">
        <v>8</v>
      </c>
      <c r="B9" s="10" t="s">
        <v>4</v>
      </c>
      <c r="C9" s="9" t="s">
        <v>12</v>
      </c>
      <c r="D9" s="9" t="s">
        <v>13</v>
      </c>
      <c r="E9" s="11">
        <v>46214</v>
      </c>
      <c r="F9" s="11">
        <v>46218</v>
      </c>
      <c r="G9" s="10">
        <f>F9-E9+1</f>
        <v>5</v>
      </c>
    </row>
    <row r="10" spans="1:69" ht="27.95">
      <c r="A10" s="6" t="s">
        <v>8</v>
      </c>
      <c r="B10" s="7" t="s">
        <v>3</v>
      </c>
      <c r="C10" s="6" t="s">
        <v>14</v>
      </c>
      <c r="D10" s="6"/>
      <c r="E10" s="8"/>
      <c r="F10" s="8"/>
      <c r="G10" s="7"/>
    </row>
    <row r="11" spans="1:69" ht="27.95">
      <c r="A11" s="9" t="s">
        <v>8</v>
      </c>
      <c r="B11" s="10" t="s">
        <v>4</v>
      </c>
      <c r="C11" s="9" t="s">
        <v>14</v>
      </c>
      <c r="D11" s="9" t="s">
        <v>15</v>
      </c>
      <c r="E11" s="11">
        <v>46219</v>
      </c>
      <c r="F11" s="11">
        <v>46220</v>
      </c>
      <c r="G11" s="10">
        <f>F11-E11+1</f>
        <v>2</v>
      </c>
    </row>
    <row r="12" spans="1:69" ht="27.95">
      <c r="A12" s="9" t="s">
        <v>8</v>
      </c>
      <c r="B12" s="10" t="s">
        <v>4</v>
      </c>
      <c r="C12" s="9" t="s">
        <v>14</v>
      </c>
      <c r="D12" s="9" t="s">
        <v>16</v>
      </c>
      <c r="E12" s="11">
        <v>46221</v>
      </c>
      <c r="F12" s="11">
        <v>46222</v>
      </c>
      <c r="G12" s="10">
        <f>F12-E12+1</f>
        <v>2</v>
      </c>
    </row>
    <row r="13" spans="1:69" ht="27.95">
      <c r="A13" s="6" t="s">
        <v>8</v>
      </c>
      <c r="B13" s="7" t="s">
        <v>3</v>
      </c>
      <c r="C13" s="6" t="s">
        <v>17</v>
      </c>
      <c r="D13" s="6"/>
      <c r="E13" s="8"/>
      <c r="F13" s="8"/>
      <c r="G13" s="7"/>
    </row>
    <row r="14" spans="1:69" ht="27.95">
      <c r="A14" s="9" t="s">
        <v>8</v>
      </c>
      <c r="B14" s="10" t="s">
        <v>4</v>
      </c>
      <c r="C14" s="9" t="s">
        <v>17</v>
      </c>
      <c r="D14" s="9" t="s">
        <v>18</v>
      </c>
      <c r="E14" s="11">
        <v>46223</v>
      </c>
      <c r="F14" s="11">
        <v>46226</v>
      </c>
      <c r="G14" s="10">
        <f>F14-E14+1</f>
        <v>4</v>
      </c>
    </row>
    <row r="15" spans="1:69" ht="27.95">
      <c r="A15" s="9" t="s">
        <v>8</v>
      </c>
      <c r="B15" s="10" t="s">
        <v>4</v>
      </c>
      <c r="C15" s="9" t="s">
        <v>17</v>
      </c>
      <c r="D15" s="9" t="s">
        <v>19</v>
      </c>
      <c r="E15" s="11">
        <v>46227</v>
      </c>
      <c r="F15" s="11">
        <v>46228</v>
      </c>
      <c r="G15" s="10">
        <f>F15-E15+1</f>
        <v>2</v>
      </c>
    </row>
    <row r="16" spans="1:69" ht="27.95">
      <c r="A16" s="6" t="s">
        <v>8</v>
      </c>
      <c r="B16" s="7" t="s">
        <v>3</v>
      </c>
      <c r="C16" s="6" t="s">
        <v>20</v>
      </c>
      <c r="D16" s="6"/>
      <c r="E16" s="8"/>
      <c r="F16" s="8"/>
      <c r="G16" s="7"/>
    </row>
    <row r="17" spans="1:7" ht="27.95">
      <c r="A17" s="9" t="s">
        <v>8</v>
      </c>
      <c r="B17" s="10" t="s">
        <v>4</v>
      </c>
      <c r="C17" s="9" t="s">
        <v>20</v>
      </c>
      <c r="D17" s="9" t="s">
        <v>21</v>
      </c>
      <c r="E17" s="11">
        <v>46229</v>
      </c>
      <c r="F17" s="11">
        <v>46231</v>
      </c>
      <c r="G17" s="10">
        <f>F17-E17+1</f>
        <v>3</v>
      </c>
    </row>
    <row r="18" spans="1:7" ht="27.95">
      <c r="A18" s="9" t="s">
        <v>8</v>
      </c>
      <c r="B18" s="10" t="s">
        <v>4</v>
      </c>
      <c r="C18" s="9" t="s">
        <v>20</v>
      </c>
      <c r="D18" s="9" t="s">
        <v>22</v>
      </c>
      <c r="E18" s="11">
        <v>46232</v>
      </c>
      <c r="F18" s="11">
        <v>46233</v>
      </c>
      <c r="G18" s="10">
        <f>F18-E18+1</f>
        <v>2</v>
      </c>
    </row>
    <row r="19" spans="1:7" ht="27.95">
      <c r="A19" s="3" t="s">
        <v>23</v>
      </c>
      <c r="B19" s="4" t="s">
        <v>1</v>
      </c>
      <c r="C19" s="3"/>
      <c r="D19" s="3"/>
      <c r="E19" s="5">
        <v>46234</v>
      </c>
      <c r="F19" s="5">
        <v>46251</v>
      </c>
      <c r="G19" s="4">
        <f>F19-E19+1</f>
        <v>18</v>
      </c>
    </row>
    <row r="20" spans="1:7" ht="27.95">
      <c r="A20" s="6" t="s">
        <v>23</v>
      </c>
      <c r="B20" s="7" t="s">
        <v>3</v>
      </c>
      <c r="C20" s="6" t="s">
        <v>24</v>
      </c>
      <c r="D20" s="6"/>
      <c r="E20" s="8"/>
      <c r="F20" s="8"/>
      <c r="G20" s="7"/>
    </row>
    <row r="21" spans="1:7" ht="27.95">
      <c r="A21" s="9" t="s">
        <v>23</v>
      </c>
      <c r="B21" s="10" t="s">
        <v>4</v>
      </c>
      <c r="C21" s="9" t="s">
        <v>24</v>
      </c>
      <c r="D21" s="9" t="s">
        <v>25</v>
      </c>
      <c r="E21" s="11">
        <v>46234</v>
      </c>
      <c r="F21" s="11">
        <v>46236</v>
      </c>
      <c r="G21" s="10">
        <f>F21-E21+1</f>
        <v>3</v>
      </c>
    </row>
    <row r="22" spans="1:7" ht="27.95">
      <c r="A22" s="9" t="s">
        <v>23</v>
      </c>
      <c r="B22" s="10" t="s">
        <v>4</v>
      </c>
      <c r="C22" s="9" t="s">
        <v>24</v>
      </c>
      <c r="D22" s="9" t="s">
        <v>26</v>
      </c>
      <c r="E22" s="11">
        <v>46237</v>
      </c>
      <c r="F22" s="11">
        <v>46239</v>
      </c>
      <c r="G22" s="10">
        <f>F22-E22+1</f>
        <v>3</v>
      </c>
    </row>
    <row r="23" spans="1:7" ht="27.95">
      <c r="A23" s="6" t="s">
        <v>23</v>
      </c>
      <c r="B23" s="7" t="s">
        <v>3</v>
      </c>
      <c r="C23" s="6" t="s">
        <v>27</v>
      </c>
      <c r="D23" s="6"/>
      <c r="E23" s="8"/>
      <c r="F23" s="8"/>
      <c r="G23" s="7"/>
    </row>
    <row r="24" spans="1:7" ht="27.95">
      <c r="A24" s="9" t="s">
        <v>23</v>
      </c>
      <c r="B24" s="10" t="s">
        <v>4</v>
      </c>
      <c r="C24" s="9" t="s">
        <v>27</v>
      </c>
      <c r="D24" s="9" t="s">
        <v>28</v>
      </c>
      <c r="E24" s="11">
        <v>46240</v>
      </c>
      <c r="F24" s="11">
        <v>46242</v>
      </c>
      <c r="G24" s="10">
        <f>F24-E24+1</f>
        <v>3</v>
      </c>
    </row>
    <row r="25" spans="1:7" ht="27.95">
      <c r="A25" s="9" t="s">
        <v>23</v>
      </c>
      <c r="B25" s="10" t="s">
        <v>4</v>
      </c>
      <c r="C25" s="9" t="s">
        <v>27</v>
      </c>
      <c r="D25" s="9" t="s">
        <v>29</v>
      </c>
      <c r="E25" s="11">
        <v>46243</v>
      </c>
      <c r="F25" s="11">
        <v>46245</v>
      </c>
      <c r="G25" s="10">
        <f>F25-E25+1</f>
        <v>3</v>
      </c>
    </row>
    <row r="26" spans="1:7" ht="27.95">
      <c r="A26" s="9" t="s">
        <v>23</v>
      </c>
      <c r="B26" s="10" t="s">
        <v>4</v>
      </c>
      <c r="C26" s="9" t="s">
        <v>27</v>
      </c>
      <c r="D26" s="9" t="s">
        <v>30</v>
      </c>
      <c r="E26" s="11">
        <v>46246</v>
      </c>
      <c r="F26" s="11">
        <v>46248</v>
      </c>
      <c r="G26" s="10">
        <f>F26-E26+1</f>
        <v>3</v>
      </c>
    </row>
    <row r="27" spans="1:7" ht="27.95">
      <c r="A27" s="6" t="s">
        <v>23</v>
      </c>
      <c r="B27" s="7" t="s">
        <v>3</v>
      </c>
      <c r="C27" s="6" t="s">
        <v>31</v>
      </c>
      <c r="D27" s="6"/>
      <c r="E27" s="8"/>
      <c r="F27" s="8"/>
      <c r="G27" s="7"/>
    </row>
    <row r="28" spans="1:7" ht="27.95">
      <c r="A28" s="9" t="s">
        <v>23</v>
      </c>
      <c r="B28" s="10" t="s">
        <v>4</v>
      </c>
      <c r="C28" s="9" t="s">
        <v>31</v>
      </c>
      <c r="D28" s="9" t="s">
        <v>32</v>
      </c>
      <c r="E28" s="11">
        <v>46249</v>
      </c>
      <c r="F28" s="11">
        <v>46250</v>
      </c>
      <c r="G28" s="10">
        <f>F28-E28+1</f>
        <v>2</v>
      </c>
    </row>
    <row r="29" spans="1:7" ht="27.95">
      <c r="A29" s="9" t="s">
        <v>23</v>
      </c>
      <c r="B29" s="10" t="s">
        <v>4</v>
      </c>
      <c r="C29" s="9" t="s">
        <v>31</v>
      </c>
      <c r="D29" s="9" t="s">
        <v>33</v>
      </c>
      <c r="E29" s="11">
        <v>46251</v>
      </c>
      <c r="F29" s="11">
        <v>46251</v>
      </c>
      <c r="G29" s="10">
        <f>F29-E29+1</f>
        <v>1</v>
      </c>
    </row>
    <row r="30" spans="1:7" ht="27.95">
      <c r="A30" s="3" t="s">
        <v>34</v>
      </c>
      <c r="B30" s="4" t="s">
        <v>1</v>
      </c>
      <c r="C30" s="3"/>
      <c r="D30" s="3"/>
      <c r="E30" s="5">
        <v>46252</v>
      </c>
      <c r="F30" s="5">
        <v>46260</v>
      </c>
      <c r="G30" s="4">
        <f>F30-E30+1</f>
        <v>9</v>
      </c>
    </row>
    <row r="31" spans="1:7" ht="27.95">
      <c r="A31" s="6" t="s">
        <v>34</v>
      </c>
      <c r="B31" s="7" t="s">
        <v>3</v>
      </c>
      <c r="C31" s="6" t="s">
        <v>35</v>
      </c>
      <c r="D31" s="6"/>
      <c r="E31" s="8"/>
      <c r="F31" s="8"/>
      <c r="G31" s="7"/>
    </row>
    <row r="32" spans="1:7" ht="27.95">
      <c r="A32" s="9" t="s">
        <v>34</v>
      </c>
      <c r="B32" s="10" t="s">
        <v>4</v>
      </c>
      <c r="C32" s="9" t="s">
        <v>35</v>
      </c>
      <c r="D32" s="9" t="s">
        <v>36</v>
      </c>
      <c r="E32" s="11">
        <v>46252</v>
      </c>
      <c r="F32" s="11">
        <v>46254</v>
      </c>
      <c r="G32" s="10">
        <f>F32-E32+1</f>
        <v>3</v>
      </c>
    </row>
    <row r="33" spans="1:7" ht="27.95">
      <c r="A33" s="9" t="s">
        <v>34</v>
      </c>
      <c r="B33" s="10" t="s">
        <v>4</v>
      </c>
      <c r="C33" s="9" t="s">
        <v>35</v>
      </c>
      <c r="D33" s="9" t="s">
        <v>37</v>
      </c>
      <c r="E33" s="11">
        <v>46255</v>
      </c>
      <c r="F33" s="11">
        <v>46257</v>
      </c>
      <c r="G33" s="10">
        <f>F33-E33+1</f>
        <v>3</v>
      </c>
    </row>
    <row r="34" spans="1:7" ht="27.95">
      <c r="A34" s="6" t="s">
        <v>34</v>
      </c>
      <c r="B34" s="7" t="s">
        <v>3</v>
      </c>
      <c r="C34" s="6" t="s">
        <v>38</v>
      </c>
      <c r="D34" s="6"/>
      <c r="E34" s="8"/>
      <c r="F34" s="8"/>
      <c r="G34" s="7"/>
    </row>
    <row r="35" spans="1:7" ht="27.95">
      <c r="A35" s="9" t="s">
        <v>34</v>
      </c>
      <c r="B35" s="10" t="s">
        <v>4</v>
      </c>
      <c r="C35" s="9" t="s">
        <v>38</v>
      </c>
      <c r="D35" s="9" t="s">
        <v>39</v>
      </c>
      <c r="E35" s="11">
        <v>46258</v>
      </c>
      <c r="F35" s="11">
        <v>46259</v>
      </c>
      <c r="G35" s="10">
        <f>F35-E35+1</f>
        <v>2</v>
      </c>
    </row>
    <row r="36" spans="1:7" ht="27.95">
      <c r="A36" s="9" t="s">
        <v>34</v>
      </c>
      <c r="B36" s="10" t="s">
        <v>4</v>
      </c>
      <c r="C36" s="9" t="s">
        <v>38</v>
      </c>
      <c r="D36" s="9" t="s">
        <v>40</v>
      </c>
      <c r="E36" s="11">
        <v>46260</v>
      </c>
      <c r="F36" s="11">
        <v>46260</v>
      </c>
      <c r="G36" s="10">
        <f>F36-E36+1</f>
        <v>1</v>
      </c>
    </row>
    <row r="37" spans="1:7" ht="27.95">
      <c r="A37" s="3" t="s">
        <v>41</v>
      </c>
      <c r="B37" s="4" t="s">
        <v>1</v>
      </c>
      <c r="C37" s="3"/>
      <c r="D37" s="3"/>
      <c r="E37" s="5">
        <v>46261</v>
      </c>
      <c r="F37" s="5">
        <v>46271</v>
      </c>
      <c r="G37" s="4">
        <f>F37-E37+1</f>
        <v>11</v>
      </c>
    </row>
    <row r="38" spans="1:7" ht="27.95">
      <c r="A38" s="6" t="s">
        <v>41</v>
      </c>
      <c r="B38" s="7" t="s">
        <v>3</v>
      </c>
      <c r="C38" s="6" t="s">
        <v>42</v>
      </c>
      <c r="D38" s="6"/>
      <c r="E38" s="8"/>
      <c r="F38" s="8"/>
      <c r="G38" s="7"/>
    </row>
    <row r="39" spans="1:7" ht="27.95">
      <c r="A39" s="9" t="s">
        <v>41</v>
      </c>
      <c r="B39" s="10" t="s">
        <v>4</v>
      </c>
      <c r="C39" s="9" t="s">
        <v>42</v>
      </c>
      <c r="D39" s="9" t="s">
        <v>43</v>
      </c>
      <c r="E39" s="11">
        <v>46261</v>
      </c>
      <c r="F39" s="11">
        <v>46264</v>
      </c>
      <c r="G39" s="10">
        <f>F39-E39+1</f>
        <v>4</v>
      </c>
    </row>
    <row r="40" spans="1:7" ht="27.95">
      <c r="A40" s="9" t="s">
        <v>41</v>
      </c>
      <c r="B40" s="10" t="s">
        <v>4</v>
      </c>
      <c r="C40" s="9" t="s">
        <v>42</v>
      </c>
      <c r="D40" s="9" t="s">
        <v>44</v>
      </c>
      <c r="E40" s="11">
        <v>46265</v>
      </c>
      <c r="F40" s="11">
        <v>46266</v>
      </c>
      <c r="G40" s="10">
        <f>F40-E40+1</f>
        <v>2</v>
      </c>
    </row>
    <row r="41" spans="1:7" ht="27.95">
      <c r="A41" s="6" t="s">
        <v>41</v>
      </c>
      <c r="B41" s="7" t="s">
        <v>3</v>
      </c>
      <c r="C41" s="6" t="s">
        <v>45</v>
      </c>
      <c r="D41" s="6"/>
      <c r="E41" s="8"/>
      <c r="F41" s="8"/>
      <c r="G41" s="7"/>
    </row>
    <row r="42" spans="1:7" ht="27.95">
      <c r="A42" s="9" t="s">
        <v>41</v>
      </c>
      <c r="B42" s="10" t="s">
        <v>4</v>
      </c>
      <c r="C42" s="9" t="s">
        <v>45</v>
      </c>
      <c r="D42" s="9" t="s">
        <v>46</v>
      </c>
      <c r="E42" s="11">
        <v>46267</v>
      </c>
      <c r="F42" s="11">
        <v>46268</v>
      </c>
      <c r="G42" s="10">
        <f>F42-E42+1</f>
        <v>2</v>
      </c>
    </row>
    <row r="43" spans="1:7" ht="27.95">
      <c r="A43" s="9" t="s">
        <v>41</v>
      </c>
      <c r="B43" s="10" t="s">
        <v>4</v>
      </c>
      <c r="C43" s="9" t="s">
        <v>45</v>
      </c>
      <c r="D43" s="9" t="s">
        <v>47</v>
      </c>
      <c r="E43" s="11">
        <v>46269</v>
      </c>
      <c r="F43" s="11">
        <v>46270</v>
      </c>
      <c r="G43" s="10">
        <f>F43-E43+1</f>
        <v>2</v>
      </c>
    </row>
    <row r="44" spans="1:7" ht="27.95">
      <c r="A44" s="6" t="s">
        <v>41</v>
      </c>
      <c r="B44" s="7" t="s">
        <v>3</v>
      </c>
      <c r="C44" s="6" t="s">
        <v>48</v>
      </c>
      <c r="D44" s="6"/>
      <c r="E44" s="8"/>
      <c r="F44" s="8"/>
      <c r="G44" s="7"/>
    </row>
    <row r="45" spans="1:7" ht="27.95">
      <c r="A45" s="9" t="s">
        <v>41</v>
      </c>
      <c r="B45" s="10" t="s">
        <v>4</v>
      </c>
      <c r="C45" s="9" t="s">
        <v>48</v>
      </c>
      <c r="D45" s="9" t="s">
        <v>49</v>
      </c>
      <c r="E45" s="11">
        <v>46271</v>
      </c>
      <c r="F45" s="11">
        <v>46271</v>
      </c>
      <c r="G45" s="10">
        <f>F45-E45+1</f>
        <v>1</v>
      </c>
    </row>
  </sheetData>
  <mergeCells count="1">
    <mergeCell ref="A1:G1"/>
  </mergeCells>
  <conditionalFormatting sqref="H4:BQ45">
    <cfRule type="expression" dxfId="1" priority="2">
      <formula>AND($H$3&lt;&gt;"",$B4="Subtarea",H$3&gt;=$E4,H$3&lt;=$F4)</formula>
    </cfRule>
    <cfRule type="expression" dxfId="0" priority="3">
      <formula>AND($H$3&lt;&gt;"",$B4="Fase",H$3&gt;=$E4,H$3&lt;=$F4)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2026-08-12T02:32:01Z</dcterms:created>
  <dcterms:modified xsi:type="dcterms:W3CDTF">2026-08-23T08:02:16Z</dcterms:modified>
  <cp:category/>
  <cp:contentStatus/>
</cp:coreProperties>
</file>